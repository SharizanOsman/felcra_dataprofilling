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d76db39bdf45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4bdf7998e8c487d95156330a75f512e.psmdcp" Id="R4667221381694d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2"/>
  </x:bookViews>
  <x:sheets>
    <x:sheet name="Test cases" sheetId="1" r:id="rId2"/>
    <x:sheet name="Defects" sheetId="2" r:id="rId3"/>
    <x:sheet name="Summary" sheetId="3" r:id="rId4"/>
  </x:sheets>
  <x:definedNames>
    <x:definedName name="_xlnm._FilterDatabase" localSheetId="0" hidden="1">'Test cases'!$A$1:$L$46</x:definedName>
  </x:definedNames>
  <x:calcPr calcId="125725"/>
</x:workbook>
</file>

<file path=xl/calcChain.xml><?xml version="1.0" encoding="utf-8"?>
<x:calcChain xmlns:x="http://schemas.openxmlformats.org/spreadsheetml/2006/main">
  <x:c r="B4" i="3"/>
  <x:c r="C4" i="3"/>
  <x:c r="B5" i="3"/>
  <x:c r="C5" i="3"/>
  <x:c r="B6" i="3"/>
  <x:c r="C6" i="3"/>
  <x:c r="B7" i="3"/>
  <x:c r="C7" i="3"/>
  <x:c r="B8" i="3"/>
  <x:c r="C8" i="3"/>
  <x:c r="B10" i="3"/>
</x:calcChain>
</file>

<file path=xl/sharedStrings.xml><?xml version="1.0" encoding="utf-8"?>
<x:sst xmlns:x="http://schemas.openxmlformats.org/spreadsheetml/2006/main">
  <x:si>
    <x:t>ID</x:t>
  </x:si>
  <x:si>
    <x:t>Area</x:t>
  </x:si>
  <x:si>
    <x:t>Priority</x:t>
  </x:si>
  <x:si>
    <x:t>Role</x:t>
  </x:si>
  <x:si>
    <x:t>Requirement</x:t>
  </x:si>
  <x:si>
    <x:t>Steps</x:t>
  </x:si>
  <x:si>
    <x:t>Expected result</x:t>
  </x:si>
  <x:si>
    <x:t>Tester</x:t>
  </x:si>
  <x:si>
    <x:t>Date</x:t>
  </x:si>
  <x:si>
    <x:t>Result</x:t>
  </x:si>
  <x:si>
    <x:t>Defect ID</x:t>
  </x:si>
  <x:si>
    <x:t>Comments</x:t>
  </x:si>
  <x:si>
    <x:t>UAT-01</x:t>
  </x:si>
  <x:si>
    <x:t>Sign-in and access</x:t>
  </x:si>
  <x:si>
    <x:t>M</x:t>
  </x:si>
  <x:si>
    <x:t>All</x:t>
  </x:si>
  <x:si>
    <x:t>FR-AUTH-01</x:t>
  </x:si>
  <x:si>
    <x:t>Sign in to the portal / app with your account. Then sign out and try a wrong password 5 times.</x:t>
  </x:si>
  <x:si>
    <x:t>Correct password signs in. After 5 wrong tries the account is locked for 15 minutes with the same message as a wrong password.</x:t>
  </x:si>
  <x:si>
    <x:t>UAT-02</x:t>
  </x:si>
  <x:si>
    <x:t>FO</x:t>
  </x:si>
  <x:si>
    <x:t>FR-AUTH-02</x:t>
  </x:si>
  <x:si>
    <x:t>Sign in on the phone, close the app, switch on airplane mode the next day and open the app.</x:t>
  </x:si>
  <x:si>
    <x:t>Still signed in; animals and tasks available offline.</x:t>
  </x:si>
  <x:si>
    <x:t>UAT-03</x:t>
  </x:si>
  <x:si>
    <x:t>FM, FO</x:t>
  </x:si>
  <x:si>
    <x:t>FR-AUTH-03</x:t>
  </x:si>
  <x:si>
    <x:t>Ask HQ for the tag of an animal on another farm; search for it and scan its label.</x:t>
  </x:si>
  <x:si>
    <x:t>Not shown / "This animal is not on any of your farms".</x:t>
  </x:si>
  <x:si>
    <x:t>UAT-04</x:t>
  </x:si>
  <x:si>
    <x:t>HQ</x:t>
  </x:si>
  <x:si>
    <x:t>FR-AUTH-04</x:t>
  </x:si>
  <x:si>
    <x:t>Create a field officer for Pagoh, sign in as them; then deactivate the user.</x:t>
  </x:si>
  <x:si>
    <x:t>New user works on the phone; after deactivation they cannot sign in, and an open session ends within 15 minutes.</x:t>
  </x:si>
  <x:si>
    <x:t>UAT-05</x:t>
  </x:si>
  <x:si>
    <x:t>S</x:t>
  </x:si>
  <x:si>
    <x:t>Change your own password (portal: your name → Change password; app: Sync → Account).</x:t>
  </x:si>
  <x:si>
    <x:t>Wrong current password is refused; new password works; other devices are signed out.</x:t>
  </x:si>
  <x:si>
    <x:t>UAT-06</x:t>
  </x:si>
  <x:si>
    <x:t>Open the admin portal address with a field officer account.</x:t>
  </x:si>
  <x:si>
    <x:t>Access refused: field officers use the field app only.</x:t>
  </x:si>
  <x:si>
    <x:t>UAT-07</x:t>
  </x:si>
  <x:si>
    <x:t>Farm and master data</x:t>
  </x:si>
  <x:si>
    <x:t>FR-MD-01, FR-MD-02</x:t>
  </x:si>
  <x:si>
    <x:t>Add a test farm with address, area, capacity and projects EPP5 and RP4. Edit it.</x:t>
  </x:si>
  <x:si>
    <x:t>Saved and listed; changes appear in the audit log.</x:t>
  </x:si>
  <x:si>
    <x:t>UAT-08</x:t>
  </x:si>
  <x:si>
    <x:t>FM</x:t>
  </x:si>
  <x:si>
    <x:t>FR-MD-03</x:t>
  </x:si>
  <x:si>
    <x:t>Add groups/pens to Pagoh and put two animals in a group.</x:t>
  </x:si>
  <x:si>
    <x:t>Group shown on the animal and in the animal list.</x:t>
  </x:si>
  <x:si>
    <x:t>UAT-09</x:t>
  </x:si>
  <x:si>
    <x:t>FR-MD-04, FR-MD-05</x:t>
  </x:si>
  <x:si>
    <x:t>Add a breed and a treatment product with a withdrawal period; deactivate an old product.</x:t>
  </x:si>
  <x:si>
    <x:t>New items available in the app after sync; inactive product no longer offered.</x:t>
  </x:si>
  <x:si>
    <x:t>UAT-10</x:t>
  </x:si>
  <x:si>
    <x:t>FR-MD-06</x:t>
  </x:si>
  <x:si>
    <x:t>Enter feed ingredients with FELCRA's analysed values and prices.</x:t>
  </x:si>
  <x:si>
    <x:t>Values used by the ration planner (UAT-37).</x:t>
  </x:si>
  <x:si>
    <x:t>UAT-11</x:t>
  </x:si>
  <x:si>
    <x:t>FR-MD-07</x:t>
  </x:si>
  <x:si>
    <x:t>Review the rule values in the HQ guide §7 with the veterinary team.</x:t>
  </x:si>
  <x:si>
    <x:t>Values confirmed, or changes requested from IT (server settings, no screen).</x:t>
  </x:si>
  <x:si>
    <x:t>UAT-12</x:t>
  </x:si>
  <x:si>
    <x:t>Animal registry</x:t>
  </x:si>
  <x:si>
    <x:t>FR-ANI-01, FR-ANI-03, FR-ANI-04</x:t>
  </x:si>
  <x:si>
    <x:t>Register an animal with an estimated birth date (dentition), breed, project, dam and sire.</x:t>
  </x:si>
  <x:si>
    <x:t>Saved with a new animal no.; age shown with "~".</x:t>
  </x:si>
  <x:si>
    <x:t>UAT-13</x:t>
  </x:si>
  <x:si>
    <x:t>FR-ANI-02</x:t>
  </x:si>
  <x:si>
    <x:t>Filter Duplicate tags and Untagged; re-tag one duplicate with Change tag.</x:t>
  </x:si>
  <x:si>
    <x:t>Pagoh's duplicates (107, 08478, 135, 136) and 8 untagged animals listed; old tag kept in the tag history.</x:t>
  </x:si>
  <x:si>
    <x:t>UAT-14</x:t>
  </x:si>
  <x:si>
    <x:t>FR-ANI-05</x:t>
  </x:si>
  <x:si>
    <x:t>Mark an animal sold, another dead, with dates and reasons.</x:t>
  </x:si>
  <x:si>
    <x:t>They leave the active list, appear in the performance report's "left the herd" and in mortality.</x:t>
  </x:si>
  <x:si>
    <x:t>UAT-15</x:t>
  </x:si>
  <x:si>
    <x:t>FR-ANI-06</x:t>
  </x:si>
  <x:si>
    <x:t>Change a female calf to dam; look at the census history and audit log.</x:t>
  </x:si>
  <x:si>
    <x:t>The census keeps the category at the time of each census; the change is in the audit log.</x:t>
  </x:si>
  <x:si>
    <x:t>UAT-16</x:t>
  </x:si>
  <x:si>
    <x:t>FR-ANI-07</x:t>
  </x:si>
  <x:si>
    <x:t>Print QR labels for 10 animals on sticker paper; attach and scan them at the pen.</x:t>
  </x:si>
  <x:si>
    <x:t>Labels print legibly; each scan opens the right animal, also for duplicated tag numbers.</x:t>
  </x:si>
  <x:si>
    <x:t>UAT-17</x:t>
  </x:si>
  <x:si>
    <x:t>FR-ANI-08</x:t>
  </x:si>
  <x:si>
    <x:t>Import a census sheet with an error (two animals with the same tag, one row without category).</x:t>
  </x:si>
  <x:si>
    <x:t>Preview lists the errors per row; nothing is saved until fixed; then the import succeeds.</x:t>
  </x:si>
  <x:si>
    <x:t>UAT-18</x:t>
  </x:si>
  <x:si>
    <x:t>Recording at the pen (field app)</x:t>
  </x:si>
  <x:si>
    <x:t>FR-REC-01</x:t>
  </x:si>
  <x:si>
    <x:t>Scan an animal, record its weight (scale) and a weight by heart-girth tape for another.</x:t>
  </x:si>
  <x:si>
    <x:t>Saved; shown in the history and in the portal's field records.</x:t>
  </x:si>
  <x:si>
    <x:t>UAT-19</x:t>
  </x:si>
  <x:si>
    <x:t>FR-REC-02</x:t>
  </x:si>
  <x:si>
    <x:t>Record BCS for 3 animals; try an impossible value.</x:t>
  </x:si>
  <x:si>
    <x:t>Saved; impossible value refused with a message.</x:t>
  </x:si>
  <x:si>
    <x:t>UAT-20</x:t>
  </x:si>
  <x:si>
    <x:t>FR-REC-03</x:t>
  </x:si>
  <x:si>
    <x:t>Record milk yield for a dam (if any are milked).</x:t>
  </x:si>
  <x:si>
    <x:t>Saved; appears in the lactation analysis.</x:t>
  </x:si>
  <x:si>
    <x:t>UAT-21</x:t>
  </x:si>
  <x:si>
    <x:t>FR-REC-04</x:t>
  </x:si>
  <x:si>
    <x:t>Record a vaccination with dose, route, batch and next due date.</x:t>
  </x:si>
  <x:si>
    <x:t>Saved; withdrawal date shown; a task appears near the due date.</x:t>
  </x:si>
  <x:si>
    <x:t>UAT-22</x:t>
  </x:si>
  <x:si>
    <x:t>FR-REC-05</x:t>
  </x:si>
  <x:si>
    <x:t>Record an observation (legs/hooves) with two photos.</x:t>
  </x:si>
  <x:si>
    <x:t>Saved; photos viewable in the portal.</x:t>
  </x:si>
  <x:si>
    <x:t>UAT-23</x:t>
  </x:si>
  <x:si>
    <x:t>FR-REC-06, FR-SYNC-01</x:t>
  </x:si>
  <x:si>
    <x:t>In airplane mode: find 5 animals, record weights, a treatment and an observation with a photo.</x:t>
  </x:si>
  <x:si>
    <x:t>All saved on the phone ("will be sent when you are back online"); the pending count shows them.</x:t>
  </x:si>
  <x:si>
    <x:t>UAT-24</x:t>
  </x:si>
  <x:si>
    <x:t>FR-SYNC-02</x:t>
  </x:si>
  <x:si>
    <x:t>Switch the network back on.</x:t>
  </x:si>
  <x:si>
    <x:t>Records sent automatically within a few minutes; pending count returns to 0; visible in the portal.</x:t>
  </x:si>
  <x:si>
    <x:t>UAT-25</x:t>
  </x:si>
  <x:si>
    <x:t>FO, FM</x:t>
  </x:si>
  <x:si>
    <x:t>FR-SYNC-03</x:t>
  </x:si>
  <x:si>
    <x:t>While FO is offline, FM marks one animal sold. FO records its weight offline, then goes online.</x:t>
  </x:si>
  <x:si>
    <x:t>The weight is "Not accepted" with the reason; FO can discard it. Other records are not affected.</x:t>
  </x:si>
  <x:si>
    <x:t>UAT-26</x:t>
  </x:si>
  <x:si>
    <x:t>Fertility and breeding</x:t>
  </x:si>
  <x:si>
    <x:t>FR-BRD-01</x:t>
  </x:si>
  <x:si>
    <x:t>Record heat for one dam, AI (with straw code) for another, natural service with a bull for a third.</x:t>
  </x:si>
  <x:si>
    <x:t>Saved; status "Served"; pregnancy check task 45 days after service.</x:t>
  </x:si>
  <x:si>
    <x:t>UAT-27</x:t>
  </x:si>
  <x:si>
    <x:t>FR-BRD-02</x:t>
  </x:si>
  <x:si>
    <x:t>Record a pregnancy check (pregnant, gestation 60 days).</x:t>
  </x:si>
  <x:si>
    <x:t>Status "Pregnant"; expected calving date shown; calving task near the date.</x:t>
  </x:si>
  <x:si>
    <x:t>UAT-28</x:t>
  </x:si>
  <x:si>
    <x:t>FR-BRD-03</x:t>
  </x:si>
  <x:si>
    <x:t>Record a calving with one calf (sex, tag, birth weight) and an assisted calving; record an abortion for another dam.</x:t>
  </x:si>
  <x:si>
    <x:t>Calf registered as a new animal with its dam; events in history.</x:t>
  </x:si>
  <x:si>
    <x:t>UAT-29</x:t>
  </x:si>
  <x:si>
    <x:t>FR-BRD-04</x:t>
  </x:si>
  <x:si>
    <x:t>Record a bull breeding soundness exam.</x:t>
  </x:si>
  <x:si>
    <x:t>Saved with the result on the bull.</x:t>
  </x:si>
  <x:si>
    <x:t>UAT-30</x:t>
  </x:si>
  <x:si>
    <x:t>FR-BRD-05</x:t>
  </x:si>
  <x:si>
    <x:t>Open Breeding; compare figures with a manual count for Pagoh.</x:t>
  </x:si>
  <x:si>
    <x:t>Pregnancy rate, calving interval, calves and calving rate match the manual count.</x:t>
  </x:si>
  <x:si>
    <x:t>UAT-31</x:t>
  </x:si>
  <x:si>
    <x:t>FR-BRD-06</x:t>
  </x:si>
  <x:si>
    <x:t>Review the culling candidates against the rules (age ≥ 8, not pregnant 12 months after calving, 2 empty checks, low BCS).</x:t>
  </x:si>
  <x:si>
    <x:t>List matches the rules; reasons shown per animal; exported PDF / Excel identical.</x:t>
  </x:si>
  <x:si>
    <x:t>UAT-32</x:t>
  </x:si>
  <x:si>
    <x:t>Census programme</x:t>
  </x:si>
  <x:si>
    <x:t>FR-CEN-01</x:t>
  </x:si>
  <x:si>
    <x:t>Create a census session with dates, PIC, population on record and programme treatments.</x:t>
  </x:si>
  <x:si>
    <x:t>Saved and listed.</x:t>
  </x:si>
  <x:si>
    <x:t>UAT-33</x:t>
  </x:si>
  <x:si>
    <x:t>FR-CEN-02</x:t>
  </x:si>
  <x:si>
    <x:t>Add / edit entries: weight, estimated age, remarks, selected.</x:t>
  </x:si>
  <x:si>
    <x:t>Saved; selected count updates.</x:t>
  </x:si>
  <x:si>
    <x:t>UAT-34</x:t>
  </x:si>
  <x:si>
    <x:t>FR-CEN-03</x:t>
  </x:si>
  <x:si>
    <x:t>Compare on-record vs counted per category on the session page.</x:t>
  </x:si>
  <x:si>
    <x:t>Correct counts and differences (Pagoh: P 11→13, I 61→60, AJ 28→31, AB 40→36).</x:t>
  </x:si>
  <x:si>
    <x:t>UAT-35</x:t>
  </x:si>
  <x:si>
    <x:t>FM, HQ</x:t>
  </x:si>
  <x:si>
    <x:t>FR-CEN-04</x:t>
  </x:si>
  <x:si>
    <x:t>Download the census &amp; profiling form (PDF) for the Pagoh July 2026 session; compare with the original report.</x:t>
  </x:si>
  <x:si>
    <x:t>Same layout and figures as the FFISB form; selected animals highlighted; English wording (URS question 13).</x:t>
  </x:si>
  <x:si>
    <x:t>UAT-36</x:t>
  </x:si>
  <x:si>
    <x:t>Analytics</x:t>
  </x:si>
  <x:si>
    <x:t>FR-ANL-01</x:t>
  </x:si>
  <x:si>
    <x:t>Open Growth; check 3 animals in the "below the curve" list at the pen.</x:t>
  </x:si>
  <x:si>
    <x:t>Curve plausible for Pagoh cattle; listed animals are indeed light for their age.</x:t>
  </x:si>
  <x:si>
    <x:t>UAT-37</x:t>
  </x:si>
  <x:si>
    <x:t>FR-ANL-03</x:t>
  </x:si>
  <x:si>
    <x:t>Plan a ration for 20 growing animals of 200 kg with FELCRA's feeds; repeat offline on the phone.</x:t>
  </x:si>
  <x:si>
    <x:t>Feasible least-cost mix with cost per day; the same result offline. A nutritionist confirms it is sensible.</x:t>
  </x:si>
  <x:si>
    <x:t>UAT-38</x:t>
  </x:si>
  <x:si>
    <x:t>FR-ANL-02</x:t>
  </x:si>
  <x:si>
    <x:t>Open Lactation (only if milk is recorded).</x:t>
  </x:si>
  <x:si>
    <x:t>Curve and 305-day yield; otherwise a clear "no milk yields" message.</x:t>
  </x:si>
  <x:si>
    <x:t>UAT-39</x:t>
  </x:si>
  <x:si>
    <x:t>Reminders, dashboard and reports</x:t>
  </x:si>
  <x:si>
    <x:t>FR-NOT-01</x:t>
  </x:si>
  <x:si>
    <x:t>Check the task list after UAT-21, UAT-26, UAT-27.</x:t>
  </x:si>
  <x:si>
    <x:t>Treatment due, pregnancy check and calving tasks listed; overdue in red.</x:t>
  </x:si>
  <x:si>
    <x:t>UAT-40</x:t>
  </x:si>
  <x:si>
    <x:t>FR-NOT-02</x:t>
  </x:si>
  <x:si>
    <x:t>Turn on task notifications on the phone; tap Send a test; next morning check for the task message.</x:t>
  </x:si>
  <x:si>
    <x:t>Test notification arrives; morning message summarises the tasks; tapping opens the app.</x:t>
  </x:si>
  <x:si>
    <x:t>UAT-41</x:t>
  </x:si>
  <x:si>
    <x:t>HQ, FM</x:t>
  </x:si>
  <x:si>
    <x:t>FR-RPT-01</x:t>
  </x:si>
  <x:si>
    <x:t>Compare the dashboard (all farms and Pagoh) with the animal list and breeding page.</x:t>
  </x:si>
  <x:si>
    <x:t>Head counts, averages, pregnancy rate, deaths / mortality and tag problems agree.</x:t>
  </x:si>
  <x:si>
    <x:t>UAT-42</x:t>
  </x:si>
  <x:si>
    <x:t>FR-RPT-02</x:t>
  </x:si>
  <x:si>
    <x:t>Download each report (farm performance, treatments, culling, census form, selected animals) as PDF and Excel.</x:t>
  </x:si>
  <x:si>
    <x:t>Files open; figures agree with the screens; Excel suitable for further analysis.</x:t>
  </x:si>
  <x:si>
    <x:t>UAT-43</x:t>
  </x:si>
  <x:si>
    <x:t>C</x:t>
  </x:si>
  <x:si>
    <x:t>FR-RPT-03</x:t>
  </x:si>
  <x:si>
    <x:t>Send me a test e-mail; after the 1st of the month check the managers' mailboxes.</x:t>
  </x:si>
  <x:si>
    <x:t>E-mail with 3 PDF reports arrives; managers receive only their farms.</x:t>
  </x:si>
  <x:si>
    <x:t>UAT-44</x:t>
  </x:si>
  <x:si>
    <x:t>Audit and recovery</x:t>
  </x:si>
  <x:si>
    <x:t>FR-AUD-01</x:t>
  </x:si>
  <x:si>
    <x:t>Find in the audit log the changes made in UAT-07, UAT-13, UAT-14.</x:t>
  </x:si>
  <x:si>
    <x:t>Who, when, old and new values shown for each.</x:t>
  </x:si>
  <x:si>
    <x:t>UAT-45</x:t>
  </x:si>
  <x:si>
    <x:t>FR-AUD-02</x:t>
  </x:si>
  <x:si>
    <x:t>Delete a test animal, then restore it from Animals → Deleted animals.</x:t>
  </x:si>
  <x:si>
    <x:t>Animal and its census entries back; "Deleted" and "Restored" in the audit log.</x:t>
  </x:si>
  <x:si>
    <x:t>Test ID</x:t>
  </x:si>
  <x:si>
    <x:t>Severity</x:t>
  </x:si>
  <x:si>
    <x:t>Summary</x:t>
  </x:si>
  <x:si>
    <x:t>Steps / expected / actual</x:t>
  </x:si>
  <x:si>
    <x:t>Reported by</x:t>
  </x:si>
  <x:si>
    <x:t>Status</x:t>
  </x:si>
  <x:si>
    <x:t>Fixed in version</x:t>
  </x:si>
  <x:si>
    <x:t>Re-tested by</x:t>
  </x:si>
  <x:si>
    <x:t>Notes</x:t>
  </x:si>
  <x:si>
    <x:t>FELCRA Cattle Profiling — UAT summary</x:t>
  </x:si>
  <x:si>
    <x:t>Must</x:t>
  </x:si>
  <x:si>
    <x:t>Pass</x:t>
  </x:si>
  <x:si>
    <x:t>Fail</x:t>
  </x:si>
  <x:si>
    <x:t>Blocked</x:t>
  </x:si>
  <x:si>
    <x:t>Not run</x:t>
  </x:si>
  <x:si>
    <x:t>Total</x:t>
  </x:si>
  <x:si>
    <x:t>Open Critical / High defects</x:t>
  </x:si>
  <x:si>
    <x:t>Exit criteria: every Must case run, no open Critical or High defects (docs/UAT.md §1).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</x:si>
</x:sst>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 mmm yyyy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B5E2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3">
    <x:dxf>
      <x:fill>
        <x:patternFill patternType="solid">
          <x:fgColor auto="1"/>
          <x:bgColor rgb="FFC8E6C9"/>
        </x:patternFill>
      </x:fill>
    </x:dxf>
    <x:dxf>
      <x:fill>
        <x:patternFill patternType="solid">
          <x:fgColor auto="1"/>
          <x:bgColor rgb="FFFFCDD2"/>
        </x:patternFill>
      </x:fill>
    </x:dxf>
    <x:dxf>
      <x:fill>
        <x:patternFill patternType="solid">
          <x:fgColor auto="1"/>
          <x:bgColor rgb="FFFFE0B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calcChain" Target="/xl/calcChain.xml" Id="rId7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4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7.282054" style="0" customWidth="1"/>
    <x:col min="2" max="2" width="32.567768" style="0" customWidth="1"/>
    <x:col min="3" max="3" width="7.567768" style="0" customWidth="1"/>
    <x:col min="4" max="4" width="7.853482" style="0" customWidth="1"/>
    <x:col min="5" max="5" width="29.282054" style="0" customWidth="1"/>
    <x:col min="6" max="6" width="60.710625" style="0" customWidth="1"/>
    <x:col min="7" max="7" width="55.710625" style="0" customWidth="1"/>
    <x:col min="8" max="11" width="13.710625" style="0" customWidth="1"/>
    <x:col min="12" max="12" width="40.710625" style="0" customWidth="1"/>
  </x:cols>
  <x:sheetData>
    <x:row r="1" spans="1:1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2" t="s">
        <x:v>12</x:v>
      </x:c>
      <x:c r="B2" s="2" t="s">
        <x:v>13</x:v>
      </x:c>
      <x:c r="C2" s="2" t="s">
        <x:v>14</x:v>
      </x:c>
      <x:c r="D2" s="2" t="s">
        <x:v>15</x:v>
      </x:c>
      <x:c r="E2" s="2" t="s">
        <x:v>16</x:v>
      </x:c>
      <x:c r="F2" s="2" t="s">
        <x:v>17</x:v>
      </x:c>
      <x:c r="G2" s="2" t="s">
        <x:v>18</x:v>
      </x:c>
      <x:c r="H2" s="2"/>
      <x:c r="I2" s="3"/>
      <x:c r="J2" s="2"/>
      <x:c r="K2" s="2"/>
      <x:c r="L2" s="2"/>
    </x:row>
    <x:row r="3" spans="1:12">
      <x:c r="A3" s="2" t="s">
        <x:v>19</x:v>
      </x:c>
      <x:c r="B3" s="2" t="s">
        <x:v>13</x:v>
      </x:c>
      <x:c r="C3" s="2" t="s">
        <x:v>14</x:v>
      </x:c>
      <x:c r="D3" s="2" t="s">
        <x:v>20</x:v>
      </x:c>
      <x:c r="E3" s="2" t="s">
        <x:v>21</x:v>
      </x:c>
      <x:c r="F3" s="2" t="s">
        <x:v>22</x:v>
      </x:c>
      <x:c r="G3" s="2" t="s">
        <x:v>23</x:v>
      </x:c>
      <x:c r="H3" s="2"/>
      <x:c r="I3" s="3"/>
      <x:c r="J3" s="2"/>
      <x:c r="K3" s="2"/>
      <x:c r="L3" s="2"/>
    </x:row>
    <x:row r="4" spans="1:12">
      <x:c r="A4" s="2" t="s">
        <x:v>24</x:v>
      </x:c>
      <x:c r="B4" s="2" t="s">
        <x:v>13</x:v>
      </x:c>
      <x:c r="C4" s="2" t="s">
        <x:v>14</x:v>
      </x:c>
      <x:c r="D4" s="2" t="s">
        <x:v>25</x:v>
      </x:c>
      <x:c r="E4" s="2" t="s">
        <x:v>26</x:v>
      </x:c>
      <x:c r="F4" s="2" t="s">
        <x:v>27</x:v>
      </x:c>
      <x:c r="G4" s="2" t="s">
        <x:v>28</x:v>
      </x:c>
      <x:c r="H4" s="2"/>
      <x:c r="I4" s="3"/>
      <x:c r="J4" s="2"/>
      <x:c r="K4" s="2"/>
      <x:c r="L4" s="2"/>
    </x:row>
    <x:row r="5" spans="1:12">
      <x:c r="A5" s="2" t="s">
        <x:v>29</x:v>
      </x:c>
      <x:c r="B5" s="2" t="s">
        <x:v>13</x:v>
      </x:c>
      <x:c r="C5" s="2" t="s">
        <x:v>14</x:v>
      </x:c>
      <x:c r="D5" s="2" t="s">
        <x:v>30</x:v>
      </x:c>
      <x:c r="E5" s="2" t="s">
        <x:v>31</x:v>
      </x:c>
      <x:c r="F5" s="2" t="s">
        <x:v>32</x:v>
      </x:c>
      <x:c r="G5" s="2" t="s">
        <x:v>33</x:v>
      </x:c>
      <x:c r="H5" s="2"/>
      <x:c r="I5" s="3"/>
      <x:c r="J5" s="2"/>
      <x:c r="K5" s="2"/>
      <x:c r="L5" s="2"/>
    </x:row>
    <x:row r="6" spans="1:12">
      <x:c r="A6" s="2" t="s">
        <x:v>34</x:v>
      </x:c>
      <x:c r="B6" s="2" t="s">
        <x:v>13</x:v>
      </x:c>
      <x:c r="C6" s="2" t="s">
        <x:v>35</x:v>
      </x:c>
      <x:c r="D6" s="2" t="s">
        <x:v>15</x:v>
      </x:c>
      <x:c r="E6" s="2" t="s">
        <x:v>16</x:v>
      </x:c>
      <x:c r="F6" s="2" t="s">
        <x:v>36</x:v>
      </x:c>
      <x:c r="G6" s="2" t="s">
        <x:v>37</x:v>
      </x:c>
      <x:c r="H6" s="2"/>
      <x:c r="I6" s="3"/>
      <x:c r="J6" s="2"/>
      <x:c r="K6" s="2"/>
      <x:c r="L6" s="2"/>
    </x:row>
    <x:row r="7" spans="1:12">
      <x:c r="A7" s="2" t="s">
        <x:v>38</x:v>
      </x:c>
      <x:c r="B7" s="2" t="s">
        <x:v>13</x:v>
      </x:c>
      <x:c r="C7" s="2" t="s">
        <x:v>14</x:v>
      </x:c>
      <x:c r="D7" s="2" t="s">
        <x:v>20</x:v>
      </x:c>
      <x:c r="E7" s="2" t="s">
        <x:v>26</x:v>
      </x:c>
      <x:c r="F7" s="2" t="s">
        <x:v>39</x:v>
      </x:c>
      <x:c r="G7" s="2" t="s">
        <x:v>40</x:v>
      </x:c>
      <x:c r="H7" s="2"/>
      <x:c r="I7" s="3"/>
      <x:c r="J7" s="2"/>
      <x:c r="K7" s="2"/>
      <x:c r="L7" s="2"/>
    </x:row>
    <x:row r="8" spans="1:12">
      <x:c r="A8" s="2" t="s">
        <x:v>41</x:v>
      </x:c>
      <x:c r="B8" s="2" t="s">
        <x:v>42</x:v>
      </x:c>
      <x:c r="C8" s="2" t="s">
        <x:v>14</x:v>
      </x:c>
      <x:c r="D8" s="2" t="s">
        <x:v>30</x:v>
      </x:c>
      <x:c r="E8" s="2" t="s">
        <x:v>43</x:v>
      </x:c>
      <x:c r="F8" s="2" t="s">
        <x:v>44</x:v>
      </x:c>
      <x:c r="G8" s="2" t="s">
        <x:v>45</x:v>
      </x:c>
      <x:c r="H8" s="2"/>
      <x:c r="I8" s="3"/>
      <x:c r="J8" s="2"/>
      <x:c r="K8" s="2"/>
      <x:c r="L8" s="2"/>
    </x:row>
    <x:row r="9" spans="1:12">
      <x:c r="A9" s="2" t="s">
        <x:v>46</x:v>
      </x:c>
      <x:c r="B9" s="2" t="s">
        <x:v>42</x:v>
      </x:c>
      <x:c r="C9" s="2" t="s">
        <x:v>14</x:v>
      </x:c>
      <x:c r="D9" s="2" t="s">
        <x:v>47</x:v>
      </x:c>
      <x:c r="E9" s="2" t="s">
        <x:v>48</x:v>
      </x:c>
      <x:c r="F9" s="2" t="s">
        <x:v>49</x:v>
      </x:c>
      <x:c r="G9" s="2" t="s">
        <x:v>50</x:v>
      </x:c>
      <x:c r="H9" s="2"/>
      <x:c r="I9" s="3"/>
      <x:c r="J9" s="2"/>
      <x:c r="K9" s="2"/>
      <x:c r="L9" s="2"/>
    </x:row>
    <x:row r="10" spans="1:12">
      <x:c r="A10" s="2" t="s">
        <x:v>51</x:v>
      </x:c>
      <x:c r="B10" s="2" t="s">
        <x:v>42</x:v>
      </x:c>
      <x:c r="C10" s="2" t="s">
        <x:v>14</x:v>
      </x:c>
      <x:c r="D10" s="2" t="s">
        <x:v>30</x:v>
      </x:c>
      <x:c r="E10" s="2" t="s">
        <x:v>52</x:v>
      </x:c>
      <x:c r="F10" s="2" t="s">
        <x:v>53</x:v>
      </x:c>
      <x:c r="G10" s="2" t="s">
        <x:v>54</x:v>
      </x:c>
      <x:c r="H10" s="2"/>
      <x:c r="I10" s="3"/>
      <x:c r="J10" s="2"/>
      <x:c r="K10" s="2"/>
      <x:c r="L10" s="2"/>
    </x:row>
    <x:row r="11" spans="1:12">
      <x:c r="A11" s="2" t="s">
        <x:v>55</x:v>
      </x:c>
      <x:c r="B11" s="2" t="s">
        <x:v>42</x:v>
      </x:c>
      <x:c r="C11" s="2" t="s">
        <x:v>35</x:v>
      </x:c>
      <x:c r="D11" s="2" t="s">
        <x:v>30</x:v>
      </x:c>
      <x:c r="E11" s="2" t="s">
        <x:v>56</x:v>
      </x:c>
      <x:c r="F11" s="2" t="s">
        <x:v>57</x:v>
      </x:c>
      <x:c r="G11" s="2" t="s">
        <x:v>58</x:v>
      </x:c>
      <x:c r="H11" s="2"/>
      <x:c r="I11" s="3"/>
      <x:c r="J11" s="2"/>
      <x:c r="K11" s="2"/>
      <x:c r="L11" s="2"/>
    </x:row>
    <x:row r="12" spans="1:12">
      <x:c r="A12" s="2" t="s">
        <x:v>59</x:v>
      </x:c>
      <x:c r="B12" s="2" t="s">
        <x:v>42</x:v>
      </x:c>
      <x:c r="C12" s="2" t="s">
        <x:v>35</x:v>
      </x:c>
      <x:c r="D12" s="2" t="s">
        <x:v>30</x:v>
      </x:c>
      <x:c r="E12" s="2" t="s">
        <x:v>60</x:v>
      </x:c>
      <x:c r="F12" s="2" t="s">
        <x:v>61</x:v>
      </x:c>
      <x:c r="G12" s="2" t="s">
        <x:v>62</x:v>
      </x:c>
      <x:c r="H12" s="2"/>
      <x:c r="I12" s="3"/>
      <x:c r="J12" s="2"/>
      <x:c r="K12" s="2"/>
      <x:c r="L12" s="2"/>
    </x:row>
    <x:row r="13" spans="1:12">
      <x:c r="A13" s="2" t="s">
        <x:v>63</x:v>
      </x:c>
      <x:c r="B13" s="2" t="s">
        <x:v>64</x:v>
      </x:c>
      <x:c r="C13" s="2" t="s">
        <x:v>14</x:v>
      </x:c>
      <x:c r="D13" s="2" t="s">
        <x:v>47</x:v>
      </x:c>
      <x:c r="E13" s="2" t="s">
        <x:v>65</x:v>
      </x:c>
      <x:c r="F13" s="2" t="s">
        <x:v>66</x:v>
      </x:c>
      <x:c r="G13" s="2" t="s">
        <x:v>67</x:v>
      </x:c>
      <x:c r="H13" s="2"/>
      <x:c r="I13" s="3"/>
      <x:c r="J13" s="2"/>
      <x:c r="K13" s="2"/>
      <x:c r="L13" s="2"/>
    </x:row>
    <x:row r="14" spans="1:12">
      <x:c r="A14" s="2" t="s">
        <x:v>68</x:v>
      </x:c>
      <x:c r="B14" s="2" t="s">
        <x:v>64</x:v>
      </x:c>
      <x:c r="C14" s="2" t="s">
        <x:v>14</x:v>
      </x:c>
      <x:c r="D14" s="2" t="s">
        <x:v>47</x:v>
      </x:c>
      <x:c r="E14" s="2" t="s">
        <x:v>69</x:v>
      </x:c>
      <x:c r="F14" s="2" t="s">
        <x:v>70</x:v>
      </x:c>
      <x:c r="G14" s="2" t="s">
        <x:v>71</x:v>
      </x:c>
      <x:c r="H14" s="2"/>
      <x:c r="I14" s="3"/>
      <x:c r="J14" s="2"/>
      <x:c r="K14" s="2"/>
      <x:c r="L14" s="2"/>
    </x:row>
    <x:row r="15" spans="1:12">
      <x:c r="A15" s="2" t="s">
        <x:v>72</x:v>
      </x:c>
      <x:c r="B15" s="2" t="s">
        <x:v>64</x:v>
      </x:c>
      <x:c r="C15" s="2" t="s">
        <x:v>14</x:v>
      </x:c>
      <x:c r="D15" s="2" t="s">
        <x:v>47</x:v>
      </x:c>
      <x:c r="E15" s="2" t="s">
        <x:v>73</x:v>
      </x:c>
      <x:c r="F15" s="2" t="s">
        <x:v>74</x:v>
      </x:c>
      <x:c r="G15" s="2" t="s">
        <x:v>75</x:v>
      </x:c>
      <x:c r="H15" s="2"/>
      <x:c r="I15" s="3"/>
      <x:c r="J15" s="2"/>
      <x:c r="K15" s="2"/>
      <x:c r="L15" s="2"/>
    </x:row>
    <x:row r="16" spans="1:12">
      <x:c r="A16" s="2" t="s">
        <x:v>76</x:v>
      </x:c>
      <x:c r="B16" s="2" t="s">
        <x:v>64</x:v>
      </x:c>
      <x:c r="C16" s="2" t="s">
        <x:v>35</x:v>
      </x:c>
      <x:c r="D16" s="2" t="s">
        <x:v>47</x:v>
      </x:c>
      <x:c r="E16" s="2" t="s">
        <x:v>77</x:v>
      </x:c>
      <x:c r="F16" s="2" t="s">
        <x:v>78</x:v>
      </x:c>
      <x:c r="G16" s="2" t="s">
        <x:v>79</x:v>
      </x:c>
      <x:c r="H16" s="2"/>
      <x:c r="I16" s="3"/>
      <x:c r="J16" s="2"/>
      <x:c r="K16" s="2"/>
      <x:c r="L16" s="2"/>
    </x:row>
    <x:row r="17" spans="1:12">
      <x:c r="A17" s="2" t="s">
        <x:v>80</x:v>
      </x:c>
      <x:c r="B17" s="2" t="s">
        <x:v>64</x:v>
      </x:c>
      <x:c r="C17" s="2" t="s">
        <x:v>14</x:v>
      </x:c>
      <x:c r="D17" s="2" t="s">
        <x:v>47</x:v>
      </x:c>
      <x:c r="E17" s="2" t="s">
        <x:v>81</x:v>
      </x:c>
      <x:c r="F17" s="2" t="s">
        <x:v>82</x:v>
      </x:c>
      <x:c r="G17" s="2" t="s">
        <x:v>83</x:v>
      </x:c>
      <x:c r="H17" s="2"/>
      <x:c r="I17" s="3"/>
      <x:c r="J17" s="2"/>
      <x:c r="K17" s="2"/>
      <x:c r="L17" s="2"/>
    </x:row>
    <x:row r="18" spans="1:12">
      <x:c r="A18" s="2" t="s">
        <x:v>84</x:v>
      </x:c>
      <x:c r="B18" s="2" t="s">
        <x:v>64</x:v>
      </x:c>
      <x:c r="C18" s="2" t="s">
        <x:v>14</x:v>
      </x:c>
      <x:c r="D18" s="2" t="s">
        <x:v>47</x:v>
      </x:c>
      <x:c r="E18" s="2" t="s">
        <x:v>85</x:v>
      </x:c>
      <x:c r="F18" s="2" t="s">
        <x:v>86</x:v>
      </x:c>
      <x:c r="G18" s="2" t="s">
        <x:v>87</x:v>
      </x:c>
      <x:c r="H18" s="2"/>
      <x:c r="I18" s="3"/>
      <x:c r="J18" s="2"/>
      <x:c r="K18" s="2"/>
      <x:c r="L18" s="2"/>
    </x:row>
    <x:row r="19" spans="1:12">
      <x:c r="A19" s="2" t="s">
        <x:v>88</x:v>
      </x:c>
      <x:c r="B19" s="2" t="s">
        <x:v>89</x:v>
      </x:c>
      <x:c r="C19" s="2" t="s">
        <x:v>14</x:v>
      </x:c>
      <x:c r="D19" s="2" t="s">
        <x:v>20</x:v>
      </x:c>
      <x:c r="E19" s="2" t="s">
        <x:v>90</x:v>
      </x:c>
      <x:c r="F19" s="2" t="s">
        <x:v>91</x:v>
      </x:c>
      <x:c r="G19" s="2" t="s">
        <x:v>92</x:v>
      </x:c>
      <x:c r="H19" s="2"/>
      <x:c r="I19" s="3"/>
      <x:c r="J19" s="2"/>
      <x:c r="K19" s="2"/>
      <x:c r="L19" s="2"/>
    </x:row>
    <x:row r="20" spans="1:12">
      <x:c r="A20" s="2" t="s">
        <x:v>93</x:v>
      </x:c>
      <x:c r="B20" s="2" t="s">
        <x:v>89</x:v>
      </x:c>
      <x:c r="C20" s="2" t="s">
        <x:v>14</x:v>
      </x:c>
      <x:c r="D20" s="2" t="s">
        <x:v>20</x:v>
      </x:c>
      <x:c r="E20" s="2" t="s">
        <x:v>94</x:v>
      </x:c>
      <x:c r="F20" s="2" t="s">
        <x:v>95</x:v>
      </x:c>
      <x:c r="G20" s="2" t="s">
        <x:v>96</x:v>
      </x:c>
      <x:c r="H20" s="2"/>
      <x:c r="I20" s="3"/>
      <x:c r="J20" s="2"/>
      <x:c r="K20" s="2"/>
      <x:c r="L20" s="2"/>
    </x:row>
    <x:row r="21" spans="1:12">
      <x:c r="A21" s="2" t="s">
        <x:v>97</x:v>
      </x:c>
      <x:c r="B21" s="2" t="s">
        <x:v>89</x:v>
      </x:c>
      <x:c r="C21" s="2" t="s">
        <x:v>35</x:v>
      </x:c>
      <x:c r="D21" s="2" t="s">
        <x:v>20</x:v>
      </x:c>
      <x:c r="E21" s="2" t="s">
        <x:v>98</x:v>
      </x:c>
      <x:c r="F21" s="2" t="s">
        <x:v>99</x:v>
      </x:c>
      <x:c r="G21" s="2" t="s">
        <x:v>100</x:v>
      </x:c>
      <x:c r="H21" s="2"/>
      <x:c r="I21" s="3"/>
      <x:c r="J21" s="2"/>
      <x:c r="K21" s="2"/>
      <x:c r="L21" s="2"/>
    </x:row>
    <x:row r="22" spans="1:12">
      <x:c r="A22" s="2" t="s">
        <x:v>101</x:v>
      </x:c>
      <x:c r="B22" s="2" t="s">
        <x:v>89</x:v>
      </x:c>
      <x:c r="C22" s="2" t="s">
        <x:v>14</x:v>
      </x:c>
      <x:c r="D22" s="2" t="s">
        <x:v>20</x:v>
      </x:c>
      <x:c r="E22" s="2" t="s">
        <x:v>102</x:v>
      </x:c>
      <x:c r="F22" s="2" t="s">
        <x:v>103</x:v>
      </x:c>
      <x:c r="G22" s="2" t="s">
        <x:v>104</x:v>
      </x:c>
      <x:c r="H22" s="2"/>
      <x:c r="I22" s="3"/>
      <x:c r="J22" s="2"/>
      <x:c r="K22" s="2"/>
      <x:c r="L22" s="2"/>
    </x:row>
    <x:row r="23" spans="1:12">
      <x:c r="A23" s="2" t="s">
        <x:v>105</x:v>
      </x:c>
      <x:c r="B23" s="2" t="s">
        <x:v>89</x:v>
      </x:c>
      <x:c r="C23" s="2" t="s">
        <x:v>35</x:v>
      </x:c>
      <x:c r="D23" s="2" t="s">
        <x:v>20</x:v>
      </x:c>
      <x:c r="E23" s="2" t="s">
        <x:v>106</x:v>
      </x:c>
      <x:c r="F23" s="2" t="s">
        <x:v>107</x:v>
      </x:c>
      <x:c r="G23" s="2" t="s">
        <x:v>108</x:v>
      </x:c>
      <x:c r="H23" s="2"/>
      <x:c r="I23" s="3"/>
      <x:c r="J23" s="2"/>
      <x:c r="K23" s="2"/>
      <x:c r="L23" s="2"/>
    </x:row>
    <x:row r="24" spans="1:12">
      <x:c r="A24" s="2" t="s">
        <x:v>109</x:v>
      </x:c>
      <x:c r="B24" s="2" t="s">
        <x:v>89</x:v>
      </x:c>
      <x:c r="C24" s="2" t="s">
        <x:v>14</x:v>
      </x:c>
      <x:c r="D24" s="2" t="s">
        <x:v>20</x:v>
      </x:c>
      <x:c r="E24" s="2" t="s">
        <x:v>110</x:v>
      </x:c>
      <x:c r="F24" s="2" t="s">
        <x:v>111</x:v>
      </x:c>
      <x:c r="G24" s="2" t="s">
        <x:v>112</x:v>
      </x:c>
      <x:c r="H24" s="2"/>
      <x:c r="I24" s="3"/>
      <x:c r="J24" s="2"/>
      <x:c r="K24" s="2"/>
      <x:c r="L24" s="2"/>
    </x:row>
    <x:row r="25" spans="1:12">
      <x:c r="A25" s="2" t="s">
        <x:v>113</x:v>
      </x:c>
      <x:c r="B25" s="2" t="s">
        <x:v>89</x:v>
      </x:c>
      <x:c r="C25" s="2" t="s">
        <x:v>14</x:v>
      </x:c>
      <x:c r="D25" s="2" t="s">
        <x:v>20</x:v>
      </x:c>
      <x:c r="E25" s="2" t="s">
        <x:v>114</x:v>
      </x:c>
      <x:c r="F25" s="2" t="s">
        <x:v>115</x:v>
      </x:c>
      <x:c r="G25" s="2" t="s">
        <x:v>116</x:v>
      </x:c>
      <x:c r="H25" s="2"/>
      <x:c r="I25" s="3"/>
      <x:c r="J25" s="2"/>
      <x:c r="K25" s="2"/>
      <x:c r="L25" s="2"/>
    </x:row>
    <x:row r="26" spans="1:12">
      <x:c r="A26" s="2" t="s">
        <x:v>117</x:v>
      </x:c>
      <x:c r="B26" s="2" t="s">
        <x:v>89</x:v>
      </x:c>
      <x:c r="C26" s="2" t="s">
        <x:v>14</x:v>
      </x:c>
      <x:c r="D26" s="2" t="s">
        <x:v>118</x:v>
      </x:c>
      <x:c r="E26" s="2" t="s">
        <x:v>119</x:v>
      </x:c>
      <x:c r="F26" s="2" t="s">
        <x:v>120</x:v>
      </x:c>
      <x:c r="G26" s="2" t="s">
        <x:v>121</x:v>
      </x:c>
      <x:c r="H26" s="2"/>
      <x:c r="I26" s="3"/>
      <x:c r="J26" s="2"/>
      <x:c r="K26" s="2"/>
      <x:c r="L26" s="2"/>
    </x:row>
    <x:row r="27" spans="1:12">
      <x:c r="A27" s="2" t="s">
        <x:v>122</x:v>
      </x:c>
      <x:c r="B27" s="2" t="s">
        <x:v>123</x:v>
      </x:c>
      <x:c r="C27" s="2" t="s">
        <x:v>14</x:v>
      </x:c>
      <x:c r="D27" s="2" t="s">
        <x:v>20</x:v>
      </x:c>
      <x:c r="E27" s="2" t="s">
        <x:v>124</x:v>
      </x:c>
      <x:c r="F27" s="2" t="s">
        <x:v>125</x:v>
      </x:c>
      <x:c r="G27" s="2" t="s">
        <x:v>126</x:v>
      </x:c>
      <x:c r="H27" s="2"/>
      <x:c r="I27" s="3"/>
      <x:c r="J27" s="2"/>
      <x:c r="K27" s="2"/>
      <x:c r="L27" s="2"/>
    </x:row>
    <x:row r="28" spans="1:12">
      <x:c r="A28" s="2" t="s">
        <x:v>127</x:v>
      </x:c>
      <x:c r="B28" s="2" t="s">
        <x:v>123</x:v>
      </x:c>
      <x:c r="C28" s="2" t="s">
        <x:v>14</x:v>
      </x:c>
      <x:c r="D28" s="2" t="s">
        <x:v>20</x:v>
      </x:c>
      <x:c r="E28" s="2" t="s">
        <x:v>128</x:v>
      </x:c>
      <x:c r="F28" s="2" t="s">
        <x:v>129</x:v>
      </x:c>
      <x:c r="G28" s="2" t="s">
        <x:v>130</x:v>
      </x:c>
      <x:c r="H28" s="2"/>
      <x:c r="I28" s="3"/>
      <x:c r="J28" s="2"/>
      <x:c r="K28" s="2"/>
      <x:c r="L28" s="2"/>
    </x:row>
    <x:row r="29" spans="1:12">
      <x:c r="A29" s="2" t="s">
        <x:v>131</x:v>
      </x:c>
      <x:c r="B29" s="2" t="s">
        <x:v>123</x:v>
      </x:c>
      <x:c r="C29" s="2" t="s">
        <x:v>14</x:v>
      </x:c>
      <x:c r="D29" s="2" t="s">
        <x:v>20</x:v>
      </x:c>
      <x:c r="E29" s="2" t="s">
        <x:v>132</x:v>
      </x:c>
      <x:c r="F29" s="2" t="s">
        <x:v>133</x:v>
      </x:c>
      <x:c r="G29" s="2" t="s">
        <x:v>134</x:v>
      </x:c>
      <x:c r="H29" s="2"/>
      <x:c r="I29" s="3"/>
      <x:c r="J29" s="2"/>
      <x:c r="K29" s="2"/>
      <x:c r="L29" s="2"/>
    </x:row>
    <x:row r="30" spans="1:12">
      <x:c r="A30" s="2" t="s">
        <x:v>135</x:v>
      </x:c>
      <x:c r="B30" s="2" t="s">
        <x:v>123</x:v>
      </x:c>
      <x:c r="C30" s="2" t="s">
        <x:v>35</x:v>
      </x:c>
      <x:c r="D30" s="2" t="s">
        <x:v>20</x:v>
      </x:c>
      <x:c r="E30" s="2" t="s">
        <x:v>136</x:v>
      </x:c>
      <x:c r="F30" s="2" t="s">
        <x:v>137</x:v>
      </x:c>
      <x:c r="G30" s="2" t="s">
        <x:v>138</x:v>
      </x:c>
      <x:c r="H30" s="2"/>
      <x:c r="I30" s="3"/>
      <x:c r="J30" s="2"/>
      <x:c r="K30" s="2"/>
      <x:c r="L30" s="2"/>
    </x:row>
    <x:row r="31" spans="1:12">
      <x:c r="A31" s="2" t="s">
        <x:v>139</x:v>
      </x:c>
      <x:c r="B31" s="2" t="s">
        <x:v>123</x:v>
      </x:c>
      <x:c r="C31" s="2" t="s">
        <x:v>14</x:v>
      </x:c>
      <x:c r="D31" s="2" t="s">
        <x:v>47</x:v>
      </x:c>
      <x:c r="E31" s="2" t="s">
        <x:v>140</x:v>
      </x:c>
      <x:c r="F31" s="2" t="s">
        <x:v>141</x:v>
      </x:c>
      <x:c r="G31" s="2" t="s">
        <x:v>142</x:v>
      </x:c>
      <x:c r="H31" s="2"/>
      <x:c r="I31" s="3"/>
      <x:c r="J31" s="2"/>
      <x:c r="K31" s="2"/>
      <x:c r="L31" s="2"/>
    </x:row>
    <x:row r="32" spans="1:12">
      <x:c r="A32" s="2" t="s">
        <x:v>143</x:v>
      </x:c>
      <x:c r="B32" s="2" t="s">
        <x:v>123</x:v>
      </x:c>
      <x:c r="C32" s="2" t="s">
        <x:v>14</x:v>
      </x:c>
      <x:c r="D32" s="2" t="s">
        <x:v>47</x:v>
      </x:c>
      <x:c r="E32" s="2" t="s">
        <x:v>144</x:v>
      </x:c>
      <x:c r="F32" s="2" t="s">
        <x:v>145</x:v>
      </x:c>
      <x:c r="G32" s="2" t="s">
        <x:v>146</x:v>
      </x:c>
      <x:c r="H32" s="2"/>
      <x:c r="I32" s="3"/>
      <x:c r="J32" s="2"/>
      <x:c r="K32" s="2"/>
      <x:c r="L32" s="2"/>
    </x:row>
    <x:row r="33" spans="1:12">
      <x:c r="A33" s="2" t="s">
        <x:v>147</x:v>
      </x:c>
      <x:c r="B33" s="2" t="s">
        <x:v>148</x:v>
      </x:c>
      <x:c r="C33" s="2" t="s">
        <x:v>14</x:v>
      </x:c>
      <x:c r="D33" s="2" t="s">
        <x:v>47</x:v>
      </x:c>
      <x:c r="E33" s="2" t="s">
        <x:v>149</x:v>
      </x:c>
      <x:c r="F33" s="2" t="s">
        <x:v>150</x:v>
      </x:c>
      <x:c r="G33" s="2" t="s">
        <x:v>151</x:v>
      </x:c>
      <x:c r="H33" s="2"/>
      <x:c r="I33" s="3"/>
      <x:c r="J33" s="2"/>
      <x:c r="K33" s="2"/>
      <x:c r="L33" s="2"/>
    </x:row>
    <x:row r="34" spans="1:12">
      <x:c r="A34" s="2" t="s">
        <x:v>152</x:v>
      </x:c>
      <x:c r="B34" s="2" t="s">
        <x:v>148</x:v>
      </x:c>
      <x:c r="C34" s="2" t="s">
        <x:v>14</x:v>
      </x:c>
      <x:c r="D34" s="2" t="s">
        <x:v>47</x:v>
      </x:c>
      <x:c r="E34" s="2" t="s">
        <x:v>153</x:v>
      </x:c>
      <x:c r="F34" s="2" t="s">
        <x:v>154</x:v>
      </x:c>
      <x:c r="G34" s="2" t="s">
        <x:v>155</x:v>
      </x:c>
      <x:c r="H34" s="2"/>
      <x:c r="I34" s="3"/>
      <x:c r="J34" s="2"/>
      <x:c r="K34" s="2"/>
      <x:c r="L34" s="2"/>
    </x:row>
    <x:row r="35" spans="1:12">
      <x:c r="A35" s="2" t="s">
        <x:v>156</x:v>
      </x:c>
      <x:c r="B35" s="2" t="s">
        <x:v>148</x:v>
      </x:c>
      <x:c r="C35" s="2" t="s">
        <x:v>14</x:v>
      </x:c>
      <x:c r="D35" s="2" t="s">
        <x:v>47</x:v>
      </x:c>
      <x:c r="E35" s="2" t="s">
        <x:v>157</x:v>
      </x:c>
      <x:c r="F35" s="2" t="s">
        <x:v>158</x:v>
      </x:c>
      <x:c r="G35" s="2" t="s">
        <x:v>159</x:v>
      </x:c>
      <x:c r="H35" s="2"/>
      <x:c r="I35" s="3"/>
      <x:c r="J35" s="2"/>
      <x:c r="K35" s="2"/>
      <x:c r="L35" s="2"/>
    </x:row>
    <x:row r="36" spans="1:12">
      <x:c r="A36" s="2" t="s">
        <x:v>160</x:v>
      </x:c>
      <x:c r="B36" s="2" t="s">
        <x:v>148</x:v>
      </x:c>
      <x:c r="C36" s="2" t="s">
        <x:v>14</x:v>
      </x:c>
      <x:c r="D36" s="2" t="s">
        <x:v>161</x:v>
      </x:c>
      <x:c r="E36" s="2" t="s">
        <x:v>162</x:v>
      </x:c>
      <x:c r="F36" s="2" t="s">
        <x:v>163</x:v>
      </x:c>
      <x:c r="G36" s="2" t="s">
        <x:v>164</x:v>
      </x:c>
      <x:c r="H36" s="2"/>
      <x:c r="I36" s="3"/>
      <x:c r="J36" s="2"/>
      <x:c r="K36" s="2"/>
      <x:c r="L36" s="2"/>
    </x:row>
    <x:row r="37" spans="1:12">
      <x:c r="A37" s="2" t="s">
        <x:v>165</x:v>
      </x:c>
      <x:c r="B37" s="2" t="s">
        <x:v>166</x:v>
      </x:c>
      <x:c r="C37" s="2" t="s">
        <x:v>14</x:v>
      </x:c>
      <x:c r="D37" s="2" t="s">
        <x:v>47</x:v>
      </x:c>
      <x:c r="E37" s="2" t="s">
        <x:v>167</x:v>
      </x:c>
      <x:c r="F37" s="2" t="s">
        <x:v>168</x:v>
      </x:c>
      <x:c r="G37" s="2" t="s">
        <x:v>169</x:v>
      </x:c>
      <x:c r="H37" s="2"/>
      <x:c r="I37" s="3"/>
      <x:c r="J37" s="2"/>
      <x:c r="K37" s="2"/>
      <x:c r="L37" s="2"/>
    </x:row>
    <x:row r="38" spans="1:12">
      <x:c r="A38" s="2" t="s">
        <x:v>170</x:v>
      </x:c>
      <x:c r="B38" s="2" t="s">
        <x:v>166</x:v>
      </x:c>
      <x:c r="C38" s="2" t="s">
        <x:v>14</x:v>
      </x:c>
      <x:c r="D38" s="2" t="s">
        <x:v>25</x:v>
      </x:c>
      <x:c r="E38" s="2" t="s">
        <x:v>171</x:v>
      </x:c>
      <x:c r="F38" s="2" t="s">
        <x:v>172</x:v>
      </x:c>
      <x:c r="G38" s="2" t="s">
        <x:v>173</x:v>
      </x:c>
      <x:c r="H38" s="2"/>
      <x:c r="I38" s="3"/>
      <x:c r="J38" s="2"/>
      <x:c r="K38" s="2"/>
      <x:c r="L38" s="2"/>
    </x:row>
    <x:row r="39" spans="1:12">
      <x:c r="A39" s="2" t="s">
        <x:v>174</x:v>
      </x:c>
      <x:c r="B39" s="2" t="s">
        <x:v>166</x:v>
      </x:c>
      <x:c r="C39" s="2" t="s">
        <x:v>35</x:v>
      </x:c>
      <x:c r="D39" s="2" t="s">
        <x:v>47</x:v>
      </x:c>
      <x:c r="E39" s="2" t="s">
        <x:v>175</x:v>
      </x:c>
      <x:c r="F39" s="2" t="s">
        <x:v>176</x:v>
      </x:c>
      <x:c r="G39" s="2" t="s">
        <x:v>177</x:v>
      </x:c>
      <x:c r="H39" s="2"/>
      <x:c r="I39" s="3"/>
      <x:c r="J39" s="2"/>
      <x:c r="K39" s="2"/>
      <x:c r="L39" s="2"/>
    </x:row>
    <x:row r="40" spans="1:12">
      <x:c r="A40" s="2" t="s">
        <x:v>178</x:v>
      </x:c>
      <x:c r="B40" s="2" t="s">
        <x:v>179</x:v>
      </x:c>
      <x:c r="C40" s="2" t="s">
        <x:v>14</x:v>
      </x:c>
      <x:c r="D40" s="2" t="s">
        <x:v>20</x:v>
      </x:c>
      <x:c r="E40" s="2" t="s">
        <x:v>180</x:v>
      </x:c>
      <x:c r="F40" s="2" t="s">
        <x:v>181</x:v>
      </x:c>
      <x:c r="G40" s="2" t="s">
        <x:v>182</x:v>
      </x:c>
      <x:c r="H40" s="2"/>
      <x:c r="I40" s="3"/>
      <x:c r="J40" s="2"/>
      <x:c r="K40" s="2"/>
      <x:c r="L40" s="2"/>
    </x:row>
    <x:row r="41" spans="1:12">
      <x:c r="A41" s="2" t="s">
        <x:v>183</x:v>
      </x:c>
      <x:c r="B41" s="2" t="s">
        <x:v>179</x:v>
      </x:c>
      <x:c r="C41" s="2" t="s">
        <x:v>35</x:v>
      </x:c>
      <x:c r="D41" s="2" t="s">
        <x:v>20</x:v>
      </x:c>
      <x:c r="E41" s="2" t="s">
        <x:v>184</x:v>
      </x:c>
      <x:c r="F41" s="2" t="s">
        <x:v>185</x:v>
      </x:c>
      <x:c r="G41" s="2" t="s">
        <x:v>186</x:v>
      </x:c>
      <x:c r="H41" s="2"/>
      <x:c r="I41" s="3"/>
      <x:c r="J41" s="2"/>
      <x:c r="K41" s="2"/>
      <x:c r="L41" s="2"/>
    </x:row>
    <x:row r="42" spans="1:12">
      <x:c r="A42" s="2" t="s">
        <x:v>187</x:v>
      </x:c>
      <x:c r="B42" s="2" t="s">
        <x:v>179</x:v>
      </x:c>
      <x:c r="C42" s="2" t="s">
        <x:v>14</x:v>
      </x:c>
      <x:c r="D42" s="2" t="s">
        <x:v>188</x:v>
      </x:c>
      <x:c r="E42" s="2" t="s">
        <x:v>189</x:v>
      </x:c>
      <x:c r="F42" s="2" t="s">
        <x:v>190</x:v>
      </x:c>
      <x:c r="G42" s="2" t="s">
        <x:v>191</x:v>
      </x:c>
      <x:c r="H42" s="2"/>
      <x:c r="I42" s="3"/>
      <x:c r="J42" s="2"/>
      <x:c r="K42" s="2"/>
      <x:c r="L42" s="2"/>
    </x:row>
    <x:row r="43" spans="1:12">
      <x:c r="A43" s="2" t="s">
        <x:v>192</x:v>
      </x:c>
      <x:c r="B43" s="2" t="s">
        <x:v>179</x:v>
      </x:c>
      <x:c r="C43" s="2" t="s">
        <x:v>14</x:v>
      </x:c>
      <x:c r="D43" s="2" t="s">
        <x:v>47</x:v>
      </x:c>
      <x:c r="E43" s="2" t="s">
        <x:v>193</x:v>
      </x:c>
      <x:c r="F43" s="2" t="s">
        <x:v>194</x:v>
      </x:c>
      <x:c r="G43" s="2" t="s">
        <x:v>195</x:v>
      </x:c>
      <x:c r="H43" s="2"/>
      <x:c r="I43" s="3"/>
      <x:c r="J43" s="2"/>
      <x:c r="K43" s="2"/>
      <x:c r="L43" s="2"/>
    </x:row>
    <x:row r="44" spans="1:12">
      <x:c r="A44" s="2" t="s">
        <x:v>196</x:v>
      </x:c>
      <x:c r="B44" s="2" t="s">
        <x:v>179</x:v>
      </x:c>
      <x:c r="C44" s="2" t="s">
        <x:v>197</x:v>
      </x:c>
      <x:c r="D44" s="2" t="s">
        <x:v>30</x:v>
      </x:c>
      <x:c r="E44" s="2" t="s">
        <x:v>198</x:v>
      </x:c>
      <x:c r="F44" s="2" t="s">
        <x:v>199</x:v>
      </x:c>
      <x:c r="G44" s="2" t="s">
        <x:v>200</x:v>
      </x:c>
      <x:c r="H44" s="2"/>
      <x:c r="I44" s="3"/>
      <x:c r="J44" s="2"/>
      <x:c r="K44" s="2"/>
      <x:c r="L44" s="2"/>
    </x:row>
    <x:row r="45" spans="1:12">
      <x:c r="A45" s="2" t="s">
        <x:v>201</x:v>
      </x:c>
      <x:c r="B45" s="2" t="s">
        <x:v>202</x:v>
      </x:c>
      <x:c r="C45" s="2" t="s">
        <x:v>14</x:v>
      </x:c>
      <x:c r="D45" s="2" t="s">
        <x:v>30</x:v>
      </x:c>
      <x:c r="E45" s="2" t="s">
        <x:v>203</x:v>
      </x:c>
      <x:c r="F45" s="2" t="s">
        <x:v>204</x:v>
      </x:c>
      <x:c r="G45" s="2" t="s">
        <x:v>205</x:v>
      </x:c>
      <x:c r="H45" s="2"/>
      <x:c r="I45" s="3"/>
      <x:c r="J45" s="2"/>
      <x:c r="K45" s="2"/>
      <x:c r="L45" s="2"/>
    </x:row>
    <x:row r="46" spans="1:12">
      <x:c r="A46" s="2" t="s">
        <x:v>206</x:v>
      </x:c>
      <x:c r="B46" s="2" t="s">
        <x:v>202</x:v>
      </x:c>
      <x:c r="C46" s="2" t="s">
        <x:v>14</x:v>
      </x:c>
      <x:c r="D46" s="2" t="s">
        <x:v>30</x:v>
      </x:c>
      <x:c r="E46" s="2" t="s">
        <x:v>207</x:v>
      </x:c>
      <x:c r="F46" s="2" t="s">
        <x:v>208</x:v>
      </x:c>
      <x:c r="G46" s="2" t="s">
        <x:v>209</x:v>
      </x:c>
      <x:c r="H46" s="2"/>
      <x:c r="I46" s="3"/>
      <x:c r="J46" s="2"/>
      <x:c r="K46" s="2"/>
      <x:c r="L46" s="2"/>
    </x:row>
  </x:sheetData>
  <x:autoFilter ref="A1:L46"/>
  <x:conditionalFormatting sqref="J2:J46">
    <x:cfRule type="cellIs" dxfId="0" priority="1" operator="equal">
      <x:formula>"Pass"</x:formula>
    </x:cfRule>
    <x:cfRule type="cellIs" dxfId="1" priority="2" operator="equal">
      <x:formula>"Fail"</x:formula>
    </x:cfRule>
    <x:cfRule type="cellIs" dxfId="2" priority="3" operator="equal">
      <x:formula>"Blocked"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J2:J46">
      <x:formula1>"Pass,Fail,Blocked,Not run"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300"/>
  <x:sheetViews>
    <x:sheetView workbookViewId="0">
      <x:pane xSplit="0" ySplit="1" topLeftCell="A2" activePane="bottomLeft" state="frozenSplit"/>
    </x:sheetView>
  </x:sheetViews>
  <x:sheetFormatPr defaultRowHeight="15"/>
  <x:cols>
    <x:col min="1" max="3" width="15.710625" style="0" customWidth="1"/>
    <x:col min="4" max="5" width="45.710625" style="0" customWidth="1"/>
    <x:col min="6" max="10" width="15.710625" style="0" customWidth="1"/>
    <x:col min="11" max="11" width="45.710625" style="0" customWidth="1"/>
  </x:cols>
  <x:sheetData>
    <x:row r="1" spans="1:11">
      <x:c r="A1" s="4" t="s">
        <x:v>10</x:v>
      </x:c>
      <x:c r="B1" s="4" t="s">
        <x:v>210</x:v>
      </x:c>
      <x:c r="C1" s="4" t="s">
        <x:v>211</x:v>
      </x:c>
      <x:c r="D1" s="4" t="s">
        <x:v>212</x:v>
      </x:c>
      <x:c r="E1" s="4" t="s">
        <x:v>213</x:v>
      </x:c>
      <x:c r="F1" s="4" t="s">
        <x:v>214</x:v>
      </x:c>
      <x:c r="G1" s="4" t="s">
        <x:v>8</x:v>
      </x:c>
      <x:c r="H1" s="4" t="s">
        <x:v>215</x:v>
      </x:c>
      <x:c r="I1" s="4" t="s">
        <x:v>216</x:v>
      </x:c>
      <x:c r="J1" s="4" t="s">
        <x:v>217</x:v>
      </x:c>
      <x:c r="K1" s="4" t="s">
        <x:v>218</x:v>
      </x:c>
    </x:row>
    <x:row r="2" spans="1:11">
      <x:c r="G2" s="5"/>
    </x:row>
    <x:row r="3" spans="1:11">
      <x:c r="G3" s="5"/>
    </x:row>
    <x:row r="4" spans="1:11">
      <x:c r="G4" s="5"/>
    </x:row>
    <x:row r="5" spans="1:11">
      <x:c r="G5" s="5"/>
    </x:row>
    <x:row r="6" spans="1:11">
      <x:c r="G6" s="5"/>
    </x:row>
    <x:row r="7" spans="1:11">
      <x:c r="G7" s="5"/>
    </x:row>
    <x:row r="8" spans="1:11">
      <x:c r="G8" s="5"/>
    </x:row>
    <x:row r="9" spans="1:11">
      <x:c r="G9" s="5"/>
    </x:row>
    <x:row r="10" spans="1:11">
      <x:c r="G10" s="5"/>
    </x:row>
    <x:row r="11" spans="1:11">
      <x:c r="G11" s="5"/>
    </x:row>
    <x:row r="12" spans="1:11">
      <x:c r="G12" s="5"/>
    </x:row>
    <x:row r="13" spans="1:11">
      <x:c r="G13" s="5"/>
    </x:row>
    <x:row r="14" spans="1:11">
      <x:c r="G14" s="5"/>
    </x:row>
    <x:row r="15" spans="1:11">
      <x:c r="G15" s="5"/>
    </x:row>
    <x:row r="16" spans="1:11">
      <x:c r="G16" s="5"/>
    </x:row>
    <x:row r="17" spans="1:11">
      <x:c r="G17" s="5"/>
    </x:row>
    <x:row r="18" spans="1:11">
      <x:c r="G18" s="5"/>
    </x:row>
    <x:row r="19" spans="1:11">
      <x:c r="G19" s="5"/>
    </x:row>
    <x:row r="20" spans="1:11">
      <x:c r="G20" s="5"/>
    </x:row>
    <x:row r="21" spans="1:11">
      <x:c r="G21" s="5"/>
    </x:row>
    <x:row r="22" spans="1:11">
      <x:c r="G22" s="5"/>
    </x:row>
    <x:row r="23" spans="1:11">
      <x:c r="G23" s="5"/>
    </x:row>
    <x:row r="24" spans="1:11">
      <x:c r="G24" s="5"/>
    </x:row>
    <x:row r="25" spans="1:11">
      <x:c r="G25" s="5"/>
    </x:row>
    <x:row r="26" spans="1:11">
      <x:c r="G26" s="5"/>
    </x:row>
    <x:row r="27" spans="1:11">
      <x:c r="G27" s="5"/>
    </x:row>
    <x:row r="28" spans="1:11">
      <x:c r="G28" s="5"/>
    </x:row>
    <x:row r="29" spans="1:11">
      <x:c r="G29" s="5"/>
    </x:row>
    <x:row r="30" spans="1:11">
      <x:c r="G30" s="5"/>
    </x:row>
    <x:row r="31" spans="1:11">
      <x:c r="G31" s="5"/>
    </x:row>
    <x:row r="32" spans="1:11">
      <x:c r="G32" s="5"/>
    </x:row>
    <x:row r="33" spans="1:11">
      <x:c r="G33" s="5"/>
    </x:row>
    <x:row r="34" spans="1:11">
      <x:c r="G34" s="5"/>
    </x:row>
    <x:row r="35" spans="1:11">
      <x:c r="G35" s="5"/>
    </x:row>
    <x:row r="36" spans="1:11">
      <x:c r="G36" s="5"/>
    </x:row>
    <x:row r="37" spans="1:11">
      <x:c r="G37" s="5"/>
    </x:row>
    <x:row r="38" spans="1:11">
      <x:c r="G38" s="5"/>
    </x:row>
    <x:row r="39" spans="1:11">
      <x:c r="G39" s="5"/>
    </x:row>
    <x:row r="40" spans="1:11">
      <x:c r="G40" s="5"/>
    </x:row>
    <x:row r="41" spans="1:11">
      <x:c r="G41" s="5"/>
    </x:row>
    <x:row r="42" spans="1:11">
      <x:c r="G42" s="5"/>
    </x:row>
    <x:row r="43" spans="1:11">
      <x:c r="G43" s="5"/>
    </x:row>
    <x:row r="44" spans="1:11">
      <x:c r="G44" s="5"/>
    </x:row>
    <x:row r="45" spans="1:11">
      <x:c r="G45" s="5"/>
    </x:row>
    <x:row r="46" spans="1:11">
      <x:c r="G46" s="5"/>
    </x:row>
    <x:row r="47" spans="1:11">
      <x:c r="G47" s="5"/>
    </x:row>
    <x:row r="48" spans="1:11">
      <x:c r="G48" s="5"/>
    </x:row>
    <x:row r="49" spans="1:11">
      <x:c r="G49" s="5"/>
    </x:row>
    <x:row r="50" spans="1:11">
      <x:c r="G50" s="5"/>
    </x:row>
    <x:row r="51" spans="1:11">
      <x:c r="G51" s="5"/>
    </x:row>
    <x:row r="52" spans="1:11">
      <x:c r="G52" s="5"/>
    </x:row>
    <x:row r="53" spans="1:11">
      <x:c r="G53" s="5"/>
    </x:row>
    <x:row r="54" spans="1:11">
      <x:c r="G54" s="5"/>
    </x:row>
    <x:row r="55" spans="1:11">
      <x:c r="G55" s="5"/>
    </x:row>
    <x:row r="56" spans="1:11">
      <x:c r="G56" s="5"/>
    </x:row>
    <x:row r="57" spans="1:11">
      <x:c r="G57" s="5"/>
    </x:row>
    <x:row r="58" spans="1:11">
      <x:c r="G58" s="5"/>
    </x:row>
    <x:row r="59" spans="1:11">
      <x:c r="G59" s="5"/>
    </x:row>
    <x:row r="60" spans="1:11">
      <x:c r="G60" s="5"/>
    </x:row>
    <x:row r="61" spans="1:11">
      <x:c r="G61" s="5"/>
    </x:row>
    <x:row r="62" spans="1:11">
      <x:c r="G62" s="5"/>
    </x:row>
    <x:row r="63" spans="1:11">
      <x:c r="G63" s="5"/>
    </x:row>
    <x:row r="64" spans="1:11">
      <x:c r="G64" s="5"/>
    </x:row>
    <x:row r="65" spans="1:11">
      <x:c r="G65" s="5"/>
    </x:row>
    <x:row r="66" spans="1:11">
      <x:c r="G66" s="5"/>
    </x:row>
    <x:row r="67" spans="1:11">
      <x:c r="G67" s="5"/>
    </x:row>
    <x:row r="68" spans="1:11">
      <x:c r="G68" s="5"/>
    </x:row>
    <x:row r="69" spans="1:11">
      <x:c r="G69" s="5"/>
    </x:row>
    <x:row r="70" spans="1:11">
      <x:c r="G70" s="5"/>
    </x:row>
    <x:row r="71" spans="1:11">
      <x:c r="G71" s="5"/>
    </x:row>
    <x:row r="72" spans="1:11">
      <x:c r="G72" s="5"/>
    </x:row>
    <x:row r="73" spans="1:11">
      <x:c r="G73" s="5"/>
    </x:row>
    <x:row r="74" spans="1:11">
      <x:c r="G74" s="5"/>
    </x:row>
    <x:row r="75" spans="1:11">
      <x:c r="G75" s="5"/>
    </x:row>
    <x:row r="76" spans="1:11">
      <x:c r="G76" s="5"/>
    </x:row>
    <x:row r="77" spans="1:11">
      <x:c r="G77" s="5"/>
    </x:row>
    <x:row r="78" spans="1:11">
      <x:c r="G78" s="5"/>
    </x:row>
    <x:row r="79" spans="1:11">
      <x:c r="G79" s="5"/>
    </x:row>
    <x:row r="80" spans="1:11">
      <x:c r="G80" s="5"/>
    </x:row>
    <x:row r="81" spans="1:11">
      <x:c r="G81" s="5"/>
    </x:row>
    <x:row r="82" spans="1:11">
      <x:c r="G82" s="5"/>
    </x:row>
    <x:row r="83" spans="1:11">
      <x:c r="G83" s="5"/>
    </x:row>
    <x:row r="84" spans="1:11">
      <x:c r="G84" s="5"/>
    </x:row>
    <x:row r="85" spans="1:11">
      <x:c r="G85" s="5"/>
    </x:row>
    <x:row r="86" spans="1:11">
      <x:c r="G86" s="5"/>
    </x:row>
    <x:row r="87" spans="1:11">
      <x:c r="G87" s="5"/>
    </x:row>
    <x:row r="88" spans="1:11">
      <x:c r="G88" s="5"/>
    </x:row>
    <x:row r="89" spans="1:11">
      <x:c r="G89" s="5"/>
    </x:row>
    <x:row r="90" spans="1:11">
      <x:c r="G90" s="5"/>
    </x:row>
    <x:row r="91" spans="1:11">
      <x:c r="G91" s="5"/>
    </x:row>
    <x:row r="92" spans="1:11">
      <x:c r="G92" s="5"/>
    </x:row>
    <x:row r="93" spans="1:11">
      <x:c r="G93" s="5"/>
    </x:row>
    <x:row r="94" spans="1:11">
      <x:c r="G94" s="5"/>
    </x:row>
    <x:row r="95" spans="1:11">
      <x:c r="G95" s="5"/>
    </x:row>
    <x:row r="96" spans="1:11">
      <x:c r="G96" s="5"/>
    </x:row>
    <x:row r="97" spans="1:11">
      <x:c r="G97" s="5"/>
    </x:row>
    <x:row r="98" spans="1:11">
      <x:c r="G98" s="5"/>
    </x:row>
    <x:row r="99" spans="1:11">
      <x:c r="G99" s="5"/>
    </x:row>
    <x:row r="100" spans="1:11">
      <x:c r="G100" s="5"/>
    </x:row>
    <x:row r="101" spans="1:11">
      <x:c r="G101" s="5"/>
    </x:row>
    <x:row r="102" spans="1:11">
      <x:c r="G102" s="5"/>
    </x:row>
    <x:row r="103" spans="1:11">
      <x:c r="G103" s="5"/>
    </x:row>
    <x:row r="104" spans="1:11">
      <x:c r="G104" s="5"/>
    </x:row>
    <x:row r="105" spans="1:11">
      <x:c r="G105" s="5"/>
    </x:row>
    <x:row r="106" spans="1:11">
      <x:c r="G106" s="5"/>
    </x:row>
    <x:row r="107" spans="1:11">
      <x:c r="G107" s="5"/>
    </x:row>
    <x:row r="108" spans="1:11">
      <x:c r="G108" s="5"/>
    </x:row>
    <x:row r="109" spans="1:11">
      <x:c r="G109" s="5"/>
    </x:row>
    <x:row r="110" spans="1:11">
      <x:c r="G110" s="5"/>
    </x:row>
    <x:row r="111" spans="1:11">
      <x:c r="G111" s="5"/>
    </x:row>
    <x:row r="112" spans="1:11">
      <x:c r="G112" s="5"/>
    </x:row>
    <x:row r="113" spans="1:11">
      <x:c r="G113" s="5"/>
    </x:row>
    <x:row r="114" spans="1:11">
      <x:c r="G114" s="5"/>
    </x:row>
    <x:row r="115" spans="1:11">
      <x:c r="G115" s="5"/>
    </x:row>
    <x:row r="116" spans="1:11">
      <x:c r="G116" s="5"/>
    </x:row>
    <x:row r="117" spans="1:11">
      <x:c r="G117" s="5"/>
    </x:row>
    <x:row r="118" spans="1:11">
      <x:c r="G118" s="5"/>
    </x:row>
    <x:row r="119" spans="1:11">
      <x:c r="G119" s="5"/>
    </x:row>
    <x:row r="120" spans="1:11">
      <x:c r="G120" s="5"/>
    </x:row>
    <x:row r="121" spans="1:11">
      <x:c r="G121" s="5"/>
    </x:row>
    <x:row r="122" spans="1:11">
      <x:c r="G122" s="5"/>
    </x:row>
    <x:row r="123" spans="1:11">
      <x:c r="G123" s="5"/>
    </x:row>
    <x:row r="124" spans="1:11">
      <x:c r="G124" s="5"/>
    </x:row>
    <x:row r="125" spans="1:11">
      <x:c r="G125" s="5"/>
    </x:row>
    <x:row r="126" spans="1:11">
      <x:c r="G126" s="5"/>
    </x:row>
    <x:row r="127" spans="1:11">
      <x:c r="G127" s="5"/>
    </x:row>
    <x:row r="128" spans="1:11">
      <x:c r="G128" s="5"/>
    </x:row>
    <x:row r="129" spans="1:11">
      <x:c r="G129" s="5"/>
    </x:row>
    <x:row r="130" spans="1:11">
      <x:c r="G130" s="5"/>
    </x:row>
    <x:row r="131" spans="1:11">
      <x:c r="G131" s="5"/>
    </x:row>
    <x:row r="132" spans="1:11">
      <x:c r="G132" s="5"/>
    </x:row>
    <x:row r="133" spans="1:11">
      <x:c r="G133" s="5"/>
    </x:row>
    <x:row r="134" spans="1:11">
      <x:c r="G134" s="5"/>
    </x:row>
    <x:row r="135" spans="1:11">
      <x:c r="G135" s="5"/>
    </x:row>
    <x:row r="136" spans="1:11">
      <x:c r="G136" s="5"/>
    </x:row>
    <x:row r="137" spans="1:11">
      <x:c r="G137" s="5"/>
    </x:row>
    <x:row r="138" spans="1:11">
      <x:c r="G138" s="5"/>
    </x:row>
    <x:row r="139" spans="1:11">
      <x:c r="G139" s="5"/>
    </x:row>
    <x:row r="140" spans="1:11">
      <x:c r="G140" s="5"/>
    </x:row>
    <x:row r="141" spans="1:11">
      <x:c r="G141" s="5"/>
    </x:row>
    <x:row r="142" spans="1:11">
      <x:c r="G142" s="5"/>
    </x:row>
    <x:row r="143" spans="1:11">
      <x:c r="G143" s="5"/>
    </x:row>
    <x:row r="144" spans="1:11">
      <x:c r="G144" s="5"/>
    </x:row>
    <x:row r="145" spans="1:11">
      <x:c r="G145" s="5"/>
    </x:row>
    <x:row r="146" spans="1:11">
      <x:c r="G146" s="5"/>
    </x:row>
    <x:row r="147" spans="1:11">
      <x:c r="G147" s="5"/>
    </x:row>
    <x:row r="148" spans="1:11">
      <x:c r="G148" s="5"/>
    </x:row>
    <x:row r="149" spans="1:11">
      <x:c r="G149" s="5"/>
    </x:row>
    <x:row r="150" spans="1:11">
      <x:c r="G150" s="5"/>
    </x:row>
    <x:row r="151" spans="1:11">
      <x:c r="G151" s="5"/>
    </x:row>
    <x:row r="152" spans="1:11">
      <x:c r="G152" s="5"/>
    </x:row>
    <x:row r="153" spans="1:11">
      <x:c r="G153" s="5"/>
    </x:row>
    <x:row r="154" spans="1:11">
      <x:c r="G154" s="5"/>
    </x:row>
    <x:row r="155" spans="1:11">
      <x:c r="G155" s="5"/>
    </x:row>
    <x:row r="156" spans="1:11">
      <x:c r="G156" s="5"/>
    </x:row>
    <x:row r="157" spans="1:11">
      <x:c r="G157" s="5"/>
    </x:row>
    <x:row r="158" spans="1:11">
      <x:c r="G158" s="5"/>
    </x:row>
    <x:row r="159" spans="1:11">
      <x:c r="G159" s="5"/>
    </x:row>
    <x:row r="160" spans="1:11">
      <x:c r="G160" s="5"/>
    </x:row>
    <x:row r="161" spans="1:11">
      <x:c r="G161" s="5"/>
    </x:row>
    <x:row r="162" spans="1:11">
      <x:c r="G162" s="5"/>
    </x:row>
    <x:row r="163" spans="1:11">
      <x:c r="G163" s="5"/>
    </x:row>
    <x:row r="164" spans="1:11">
      <x:c r="G164" s="5"/>
    </x:row>
    <x:row r="165" spans="1:11">
      <x:c r="G165" s="5"/>
    </x:row>
    <x:row r="166" spans="1:11">
      <x:c r="G166" s="5"/>
    </x:row>
    <x:row r="167" spans="1:11">
      <x:c r="G167" s="5"/>
    </x:row>
    <x:row r="168" spans="1:11">
      <x:c r="G168" s="5"/>
    </x:row>
    <x:row r="169" spans="1:11">
      <x:c r="G169" s="5"/>
    </x:row>
    <x:row r="170" spans="1:11">
      <x:c r="G170" s="5"/>
    </x:row>
    <x:row r="171" spans="1:11">
      <x:c r="G171" s="5"/>
    </x:row>
    <x:row r="172" spans="1:11">
      <x:c r="G172" s="5"/>
    </x:row>
    <x:row r="173" spans="1:11">
      <x:c r="G173" s="5"/>
    </x:row>
    <x:row r="174" spans="1:11">
      <x:c r="G174" s="5"/>
    </x:row>
    <x:row r="175" spans="1:11">
      <x:c r="G175" s="5"/>
    </x:row>
    <x:row r="176" spans="1:11">
      <x:c r="G176" s="5"/>
    </x:row>
    <x:row r="177" spans="1:11">
      <x:c r="G177" s="5"/>
    </x:row>
    <x:row r="178" spans="1:11">
      <x:c r="G178" s="5"/>
    </x:row>
    <x:row r="179" spans="1:11">
      <x:c r="G179" s="5"/>
    </x:row>
    <x:row r="180" spans="1:11">
      <x:c r="G180" s="5"/>
    </x:row>
    <x:row r="181" spans="1:11">
      <x:c r="G181" s="5"/>
    </x:row>
    <x:row r="182" spans="1:11">
      <x:c r="G182" s="5"/>
    </x:row>
    <x:row r="183" spans="1:11">
      <x:c r="G183" s="5"/>
    </x:row>
    <x:row r="184" spans="1:11">
      <x:c r="G184" s="5"/>
    </x:row>
    <x:row r="185" spans="1:11">
      <x:c r="G185" s="5"/>
    </x:row>
    <x:row r="186" spans="1:11">
      <x:c r="G186" s="5"/>
    </x:row>
    <x:row r="187" spans="1:11">
      <x:c r="G187" s="5"/>
    </x:row>
    <x:row r="188" spans="1:11">
      <x:c r="G188" s="5"/>
    </x:row>
    <x:row r="189" spans="1:11">
      <x:c r="G189" s="5"/>
    </x:row>
    <x:row r="190" spans="1:11">
      <x:c r="G190" s="5"/>
    </x:row>
    <x:row r="191" spans="1:11">
      <x:c r="G191" s="5"/>
    </x:row>
    <x:row r="192" spans="1:11">
      <x:c r="G192" s="5"/>
    </x:row>
    <x:row r="193" spans="1:11">
      <x:c r="G193" s="5"/>
    </x:row>
    <x:row r="194" spans="1:11">
      <x:c r="G194" s="5"/>
    </x:row>
    <x:row r="195" spans="1:11">
      <x:c r="G195" s="5"/>
    </x:row>
    <x:row r="196" spans="1:11">
      <x:c r="G196" s="5"/>
    </x:row>
    <x:row r="197" spans="1:11">
      <x:c r="G197" s="5"/>
    </x:row>
    <x:row r="198" spans="1:11">
      <x:c r="G198" s="5"/>
    </x:row>
    <x:row r="199" spans="1:11">
      <x:c r="G199" s="5"/>
    </x:row>
    <x:row r="200" spans="1:11">
      <x:c r="G200" s="5"/>
    </x:row>
    <x:row r="201" spans="1:11">
      <x:c r="G201" s="5"/>
    </x:row>
    <x:row r="202" spans="1:11">
      <x:c r="G202" s="5"/>
    </x:row>
    <x:row r="203" spans="1:11">
      <x:c r="G203" s="5"/>
    </x:row>
    <x:row r="204" spans="1:11">
      <x:c r="G204" s="5"/>
    </x:row>
    <x:row r="205" spans="1:11">
      <x:c r="G205" s="5"/>
    </x:row>
    <x:row r="206" spans="1:11">
      <x:c r="G206" s="5"/>
    </x:row>
    <x:row r="207" spans="1:11">
      <x:c r="G207" s="5"/>
    </x:row>
    <x:row r="208" spans="1:11">
      <x:c r="G208" s="5"/>
    </x:row>
    <x:row r="209" spans="1:11">
      <x:c r="G209" s="5"/>
    </x:row>
    <x:row r="210" spans="1:11">
      <x:c r="G210" s="5"/>
    </x:row>
    <x:row r="211" spans="1:11">
      <x:c r="G211" s="5"/>
    </x:row>
    <x:row r="212" spans="1:11">
      <x:c r="G212" s="5"/>
    </x:row>
    <x:row r="213" spans="1:11">
      <x:c r="G213" s="5"/>
    </x:row>
    <x:row r="214" spans="1:11">
      <x:c r="G214" s="5"/>
    </x:row>
    <x:row r="215" spans="1:11">
      <x:c r="G215" s="5"/>
    </x:row>
    <x:row r="216" spans="1:11">
      <x:c r="G216" s="5"/>
    </x:row>
    <x:row r="217" spans="1:11">
      <x:c r="G217" s="5"/>
    </x:row>
    <x:row r="218" spans="1:11">
      <x:c r="G218" s="5"/>
    </x:row>
    <x:row r="219" spans="1:11">
      <x:c r="G219" s="5"/>
    </x:row>
    <x:row r="220" spans="1:11">
      <x:c r="G220" s="5"/>
    </x:row>
    <x:row r="221" spans="1:11">
      <x:c r="G221" s="5"/>
    </x:row>
    <x:row r="222" spans="1:11">
      <x:c r="G222" s="5"/>
    </x:row>
    <x:row r="223" spans="1:11">
      <x:c r="G223" s="5"/>
    </x:row>
    <x:row r="224" spans="1:11">
      <x:c r="G224" s="5"/>
    </x:row>
    <x:row r="225" spans="1:11">
      <x:c r="G225" s="5"/>
    </x:row>
    <x:row r="226" spans="1:11">
      <x:c r="G226" s="5"/>
    </x:row>
    <x:row r="227" spans="1:11">
      <x:c r="G227" s="5"/>
    </x:row>
    <x:row r="228" spans="1:11">
      <x:c r="G228" s="5"/>
    </x:row>
    <x:row r="229" spans="1:11">
      <x:c r="G229" s="5"/>
    </x:row>
    <x:row r="230" spans="1:11">
      <x:c r="G230" s="5"/>
    </x:row>
    <x:row r="231" spans="1:11">
      <x:c r="G231" s="5"/>
    </x:row>
    <x:row r="232" spans="1:11">
      <x:c r="G232" s="5"/>
    </x:row>
    <x:row r="233" spans="1:11">
      <x:c r="G233" s="5"/>
    </x:row>
    <x:row r="234" spans="1:11">
      <x:c r="G234" s="5"/>
    </x:row>
    <x:row r="235" spans="1:11">
      <x:c r="G235" s="5"/>
    </x:row>
    <x:row r="236" spans="1:11">
      <x:c r="G236" s="5"/>
    </x:row>
    <x:row r="237" spans="1:11">
      <x:c r="G237" s="5"/>
    </x:row>
    <x:row r="238" spans="1:11">
      <x:c r="G238" s="5"/>
    </x:row>
    <x:row r="239" spans="1:11">
      <x:c r="G239" s="5"/>
    </x:row>
    <x:row r="240" spans="1:11">
      <x:c r="G240" s="5"/>
    </x:row>
    <x:row r="241" spans="1:11">
      <x:c r="G241" s="5"/>
    </x:row>
    <x:row r="242" spans="1:11">
      <x:c r="G242" s="5"/>
    </x:row>
    <x:row r="243" spans="1:11">
      <x:c r="G243" s="5"/>
    </x:row>
    <x:row r="244" spans="1:11">
      <x:c r="G244" s="5"/>
    </x:row>
    <x:row r="245" spans="1:11">
      <x:c r="G245" s="5"/>
    </x:row>
    <x:row r="246" spans="1:11">
      <x:c r="G246" s="5"/>
    </x:row>
    <x:row r="247" spans="1:11">
      <x:c r="G247" s="5"/>
    </x:row>
    <x:row r="248" spans="1:11">
      <x:c r="G248" s="5"/>
    </x:row>
    <x:row r="249" spans="1:11">
      <x:c r="G249" s="5"/>
    </x:row>
    <x:row r="250" spans="1:11">
      <x:c r="G250" s="5"/>
    </x:row>
    <x:row r="251" spans="1:11">
      <x:c r="G251" s="5"/>
    </x:row>
    <x:row r="252" spans="1:11">
      <x:c r="G252" s="5"/>
    </x:row>
    <x:row r="253" spans="1:11">
      <x:c r="G253" s="5"/>
    </x:row>
    <x:row r="254" spans="1:11">
      <x:c r="G254" s="5"/>
    </x:row>
    <x:row r="255" spans="1:11">
      <x:c r="G255" s="5"/>
    </x:row>
    <x:row r="256" spans="1:11">
      <x:c r="G256" s="5"/>
    </x:row>
    <x:row r="257" spans="1:11">
      <x:c r="G257" s="5"/>
    </x:row>
    <x:row r="258" spans="1:11">
      <x:c r="G258" s="5"/>
    </x:row>
    <x:row r="259" spans="1:11">
      <x:c r="G259" s="5"/>
    </x:row>
    <x:row r="260" spans="1:11">
      <x:c r="G260" s="5"/>
    </x:row>
    <x:row r="261" spans="1:11">
      <x:c r="G261" s="5"/>
    </x:row>
    <x:row r="262" spans="1:11">
      <x:c r="G262" s="5"/>
    </x:row>
    <x:row r="263" spans="1:11">
      <x:c r="G263" s="5"/>
    </x:row>
    <x:row r="264" spans="1:11">
      <x:c r="G264" s="5"/>
    </x:row>
    <x:row r="265" spans="1:11">
      <x:c r="G265" s="5"/>
    </x:row>
    <x:row r="266" spans="1:11">
      <x:c r="G266" s="5"/>
    </x:row>
    <x:row r="267" spans="1:11">
      <x:c r="G267" s="5"/>
    </x:row>
    <x:row r="268" spans="1:11">
      <x:c r="G268" s="5"/>
    </x:row>
    <x:row r="269" spans="1:11">
      <x:c r="G269" s="5"/>
    </x:row>
    <x:row r="270" spans="1:11">
      <x:c r="G270" s="5"/>
    </x:row>
    <x:row r="271" spans="1:11">
      <x:c r="G271" s="5"/>
    </x:row>
    <x:row r="272" spans="1:11">
      <x:c r="G272" s="5"/>
    </x:row>
    <x:row r="273" spans="1:11">
      <x:c r="G273" s="5"/>
    </x:row>
    <x:row r="274" spans="1:11">
      <x:c r="G274" s="5"/>
    </x:row>
    <x:row r="275" spans="1:11">
      <x:c r="G275" s="5"/>
    </x:row>
    <x:row r="276" spans="1:11">
      <x:c r="G276" s="5"/>
    </x:row>
    <x:row r="277" spans="1:11">
      <x:c r="G277" s="5"/>
    </x:row>
    <x:row r="278" spans="1:11">
      <x:c r="G278" s="5"/>
    </x:row>
    <x:row r="279" spans="1:11">
      <x:c r="G279" s="5"/>
    </x:row>
    <x:row r="280" spans="1:11">
      <x:c r="G280" s="5"/>
    </x:row>
    <x:row r="281" spans="1:11">
      <x:c r="G281" s="5"/>
    </x:row>
    <x:row r="282" spans="1:11">
      <x:c r="G282" s="5"/>
    </x:row>
    <x:row r="283" spans="1:11">
      <x:c r="G283" s="5"/>
    </x:row>
    <x:row r="284" spans="1:11">
      <x:c r="G284" s="5"/>
    </x:row>
    <x:row r="285" spans="1:11">
      <x:c r="G285" s="5"/>
    </x:row>
    <x:row r="286" spans="1:11">
      <x:c r="G286" s="5"/>
    </x:row>
    <x:row r="287" spans="1:11">
      <x:c r="G287" s="5"/>
    </x:row>
    <x:row r="288" spans="1:11">
      <x:c r="G288" s="5"/>
    </x:row>
    <x:row r="289" spans="1:11">
      <x:c r="G289" s="5"/>
    </x:row>
    <x:row r="290" spans="1:11">
      <x:c r="G290" s="5"/>
    </x:row>
    <x:row r="291" spans="1:11">
      <x:c r="G291" s="5"/>
    </x:row>
    <x:row r="292" spans="1:11">
      <x:c r="G292" s="5"/>
    </x:row>
    <x:row r="293" spans="1:11">
      <x:c r="G293" s="5"/>
    </x:row>
    <x:row r="294" spans="1:11">
      <x:c r="G294" s="5"/>
    </x:row>
    <x:row r="295" spans="1:11">
      <x:c r="G295" s="5"/>
    </x:row>
    <x:row r="296" spans="1:11">
      <x:c r="G296" s="5"/>
    </x:row>
    <x:row r="297" spans="1:11">
      <x:c r="G297" s="5"/>
    </x:row>
    <x:row r="298" spans="1:11">
      <x:c r="G298" s="5"/>
    </x:row>
    <x:row r="299" spans="1:11">
      <x:c r="G299" s="5"/>
    </x:row>
    <x:row r="300" spans="1:11">
      <x:c r="G300" s="5"/>
    </x:row>
  </x:sheetData>
  <x:dataValidations count="2">
    <x:dataValidation type="list" errorStyle="stop" operator="between" allowBlank="1" showDropDown="0" showInputMessage="1" showErrorMessage="1" errorTitle="" error="" promptTitle="" prompt="" sqref="C2:C300">
      <x:formula1>"Critical,High,Medium,Low"</x:formula1>
      <x:formula2/>
    </x:dataValidation>
    <x:dataValidation type="list" errorStyle="stop" operator="between" allowBlank="1" showDropDown="0" showInputMessage="1" showErrorMessage="1" errorTitle="" error="" promptTitle="" prompt="" sqref="H2:H300">
      <x:formula1>"Open,Fixed,Re-test passed,Accepted (punch list),Rejected"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1"/>
  <x:sheetViews>
    <x:sheetView workbookViewId="0"/>
  </x:sheetViews>
  <x:sheetFormatPr defaultRowHeight="15"/>
  <x:cols>
    <x:col min="1" max="1" width="32.710625" style="0" customWidth="1"/>
    <x:col min="2" max="3" width="10.710625" style="0" customWidth="1"/>
  </x:cols>
  <x:sheetData>
    <x:row r="1" spans="1:3">
      <x:c r="A1" s="7" t="s">
        <x:v>219</x:v>
      </x:c>
    </x:row>
    <x:row r="3" spans="1:3">
      <x:c r="A3" s="6" t="s">
        <x:v>9</x:v>
      </x:c>
      <x:c r="B3" s="6" t="s">
        <x:v>15</x:v>
      </x:c>
      <x:c r="C3" s="6" t="s">
        <x:v>220</x:v>
      </x:c>
    </x:row>
    <x:row r="4" spans="1:3">
      <x:c r="A4" s="0" t="s">
        <x:v>221</x:v>
      </x:c>
      <x:c r="B4" s="0">
        <x:f>COUNTIF('Test cases'!$J$2:$J$46,"Pass")</x:f>
      </x:c>
      <x:c r="C4" s="0">
        <x:f>COUNTIFS('Test cases'!$C$2:$C$46,"M",'Test cases'!$J$2:$J$46,"Pass")</x:f>
      </x:c>
    </x:row>
    <x:row r="5" spans="1:3">
      <x:c r="A5" s="0" t="s">
        <x:v>222</x:v>
      </x:c>
      <x:c r="B5" s="0">
        <x:f>COUNTIF('Test cases'!$J$2:$J$46,"Fail")</x:f>
      </x:c>
      <x:c r="C5" s="0">
        <x:f>COUNTIFS('Test cases'!$C$2:$C$46,"M",'Test cases'!$J$2:$J$46,"Fail")</x:f>
      </x:c>
    </x:row>
    <x:row r="6" spans="1:3">
      <x:c r="A6" s="0" t="s">
        <x:v>223</x:v>
      </x:c>
      <x:c r="B6" s="0">
        <x:f>COUNTIF('Test cases'!$J$2:$J$46,"Blocked")</x:f>
      </x:c>
      <x:c r="C6" s="0">
        <x:f>COUNTIFS('Test cases'!$C$2:$C$46,"M",'Test cases'!$J$2:$J$46,"Blocked")</x:f>
      </x:c>
    </x:row>
    <x:row r="7" spans="1:3">
      <x:c r="A7" s="0" t="s">
        <x:v>224</x:v>
      </x:c>
      <x:c r="B7" s="0">
        <x:f>COUNTIF('Test cases'!$J$2:$J$46,"Not run")+COUNTBLANK('Test cases'!$J$2:$J$46)</x:f>
      </x:c>
      <x:c r="C7" s="0">
        <x:f>COUNTIFS('Test cases'!$C$2:$C$46,"M",'Test cases'!$J$2:$J$46,"Not run")+COUNTIFS('Test cases'!$C$2:$C$46,"M",'Test cases'!$J$2:$J$46,"")</x:f>
      </x:c>
    </x:row>
    <x:row r="8" spans="1:3" s="6" customFormat="1">
      <x:c r="A8" s="6" t="s">
        <x:v>225</x:v>
      </x:c>
      <x:c r="B8" s="6">
        <x:f>COUNTA('Test cases'!$A$2:$A$46)</x:f>
      </x:c>
      <x:c r="C8" s="6">
        <x:f>COUNTIF('Test cases'!$C$2:$C$46,"M")</x:f>
      </x:c>
    </x:row>
    <x:row r="10" spans="1:3">
      <x:c r="A10" s="0" t="s">
        <x:v>226</x:v>
      </x:c>
      <x:c r="B10" s="0">
        <x:f>COUNTIFS(Defects!$C:$C,"Critical",Defects!$H:$H,"Open")+COUNTIFS(Defects!$C:$C,"High",Defects!$H:$H,"Open")</x:f>
      </x:c>
    </x:row>
    <x:row r="11" spans="1:3">
      <x:c r="A11" s="8" t="s">
        <x:v>227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Test cases</vt:lpstr>
      <vt:lpstr>Defects</vt:lpstr>
      <vt:lpstr>Summary</vt:lpstr>
      <vt:lpstr>Test cases!Print_Area</vt:lpstr>
      <vt:lpstr>Test cases!Print_Titles</vt:lpstr>
      <vt:lpstr>Defects!Print_Area</vt:lpstr>
      <vt:lpstr>Defects!Print_Titles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